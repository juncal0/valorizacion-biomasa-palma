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gion 5\tesis-articulo\docs\"/>
    </mc:Choice>
  </mc:AlternateContent>
  <xr:revisionPtr revIDLastSave="0" documentId="8_{A6B1B859-BB0D-4204-BFC0-39CCAD1E6C95}" xr6:coauthVersionLast="47" xr6:coauthVersionMax="47" xr10:uidLastSave="{00000000-0000-0000-0000-000000000000}"/>
  <bookViews>
    <workbookView xWindow="-20604" yWindow="2124" windowWidth="20712" windowHeight="11016" xr2:uid="{00000000-000D-0000-FFFF-FFFF00000000}"/>
  </bookViews>
  <sheets>
    <sheet name="Instrucciones" sheetId="1" r:id="rId1"/>
    <sheet name="Variables" sheetId="2" r:id="rId2"/>
  </sheets>
  <calcPr calcId="0"/>
</workbook>
</file>

<file path=xl/sharedStrings.xml><?xml version="1.0" encoding="utf-8"?>
<sst xmlns="http://schemas.openxmlformats.org/spreadsheetml/2006/main" count="260" uniqueCount="99">
  <si>
    <t>Documento maestro de variables de entrada</t>
  </si>
  <si>
    <t>Valorización energética de biomasa — diccionario de datos</t>
  </si>
  <si>
    <t>Qué es este archivo</t>
  </si>
  <si>
    <t>Cada fila describe UNA variable de entrada que el modelo necesita para UNA planta. Es el 'contrato de datos' entre quien recolecta la información (auditoría de campo, Excel histórico) y el modelo de optimización.</t>
  </si>
  <si>
    <t>Cómo llenarlo</t>
  </si>
  <si>
    <t>En la hoja 'Variables', complete las celdas resaltadas en amarillo para cada planta. La fila de ejemplo (Planta A, fondo azul claro) muestra el formato esperado — no la borre, úsela de referencia y agregue sus filas debajo.</t>
  </si>
  <si>
    <t>Columna 'Fuente'</t>
  </si>
  <si>
    <t>Indique de dónde sale el dato: 'Excel 2022' (dato histórico ya usado en el artículo), 'Auditoría nueva' (medido en campo), 'Cotización proveedor', o 'Dato externo' (ej. precio de bolsa de XM).</t>
  </si>
  <si>
    <t>Columnas de incertidumbre</t>
  </si>
  <si>
    <t>Solo se llenan para las variables que entran al análisis de Monte Carlo. 'Incertidumbre_tipo' puede ser: 'fija' (sin incertidumbre), 'uniforme' (cualquier valor entre min y max es igual de probable), 'triangular' (más probable el valor central, min/max como extremos), o 'historica' (min/max calculados de una serie de datos real).</t>
  </si>
  <si>
    <t>Variables prioritarias para Monte Carlo (fase 1)</t>
  </si>
  <si>
    <t>Precio de bolsa de electricidad, CAPEX de equipos (turbina + biogás), y disponibilidad/humedad de biomasa. El resto de variables se documentan como 'fija' por ahora — se pueden extender a incertidumbre más adelante sin rehacer el archivo.</t>
  </si>
  <si>
    <t>Código de colores</t>
  </si>
  <si>
    <t>Amarillo = celda que usted debe llenar. Azul claro = fila de ejemplo, no editar. Texto azul = valor de referencia tomado del Excel 2022 original. Verde = dato real medido (no supuesto), tomado de un consolidado de productividad externo -- maxima confianza para el Monte Carlo.</t>
  </si>
  <si>
    <t>Planta</t>
  </si>
  <si>
    <t>Categoria</t>
  </si>
  <si>
    <t>Variable</t>
  </si>
  <si>
    <t>Nombre_codigo</t>
  </si>
  <si>
    <t>Valor</t>
  </si>
  <si>
    <t>Unidad</t>
  </si>
  <si>
    <t>Fuente</t>
  </si>
  <si>
    <t>Fecha_dato</t>
  </si>
  <si>
    <t>Incertidumbre_tipo</t>
  </si>
  <si>
    <t>Incertidumbre_min</t>
  </si>
  <si>
    <t>Incertidumbre_max</t>
  </si>
  <si>
    <t>Notas</t>
  </si>
  <si>
    <t>Planta A</t>
  </si>
  <si>
    <t>Produccion</t>
  </si>
  <si>
    <t>RFF procesado anual</t>
  </si>
  <si>
    <t>RFF_procesado_t_ano</t>
  </si>
  <si>
    <t>t/año</t>
  </si>
  <si>
    <t>Excel 2022</t>
  </si>
  <si>
    <t>2022</t>
  </si>
  <si>
    <t>fija</t>
  </si>
  <si>
    <t>Dato base del articulo publicado</t>
  </si>
  <si>
    <t>Horas de operacion anual</t>
  </si>
  <si>
    <t>horas_operacion_anual</t>
  </si>
  <si>
    <t>h/año</t>
  </si>
  <si>
    <t>Biomasa disponible</t>
  </si>
  <si>
    <t>Fibra disponible</t>
  </si>
  <si>
    <t>fibra_t_ano</t>
  </si>
  <si>
    <t>Humedad EFB (post-secado)</t>
  </si>
  <si>
    <t>humedad_efb_pct</t>
  </si>
  <si>
    <t>%H2O</t>
  </si>
  <si>
    <t>triangular</t>
  </si>
  <si>
    <t>Variable prioritaria Monte Carlo — depende de eficiencia del secador</t>
  </si>
  <si>
    <t>Consumo energetico</t>
  </si>
  <si>
    <t>Consumo electrico Esterilizacion</t>
  </si>
  <si>
    <t>consumo_elec_esterilizacion_kW</t>
  </si>
  <si>
    <t>kW</t>
  </si>
  <si>
    <t>Fuente electrica actual</t>
  </si>
  <si>
    <t>Precio de compra ponderado</t>
  </si>
  <si>
    <t>PRECIO_ELECTRICIDAD_COMPRA</t>
  </si>
  <si>
    <t>USD/kWh</t>
  </si>
  <si>
    <t>Parametros economicos</t>
  </si>
  <si>
    <t>Precio de bolsa promedio</t>
  </si>
  <si>
    <t>PRECIO_BOLSA_PROMEDIO</t>
  </si>
  <si>
    <t>Dato externo (XM)</t>
  </si>
  <si>
    <t>ene25-mar26</t>
  </si>
  <si>
    <t>historica</t>
  </si>
  <si>
    <t>Variable prioritaria Monte Carlo — 11 meses de datos XM</t>
  </si>
  <si>
    <t>Parametros de equipo</t>
  </si>
  <si>
    <t>CAPEX turbina 300 kW</t>
  </si>
  <si>
    <t>CAPEX_TURBINA_ESC1_300kW</t>
  </si>
  <si>
    <t>USD</t>
  </si>
  <si>
    <t>Catalogo (Malico et al. 2019)</t>
  </si>
  <si>
    <t>2026</t>
  </si>
  <si>
    <t>Variable prioritaria Monte Carlo — Clase 4-5 AACE, ±30%</t>
  </si>
  <si>
    <t>Material genetico</t>
  </si>
  <si>
    <t>% Fruto hibrido OxG procesado</t>
  </si>
  <si>
    <t>pct_hibrido_procesado</t>
  </si>
  <si>
    <t>%</t>
  </si>
  <si>
    <t>Consolidado Productividad Zona Norte</t>
  </si>
  <si>
    <t>2024</t>
  </si>
  <si>
    <t>Dato real medido (no supuesto) — ver tendencia: usar para banda de incertidumbre y proyeccion 2026-2027</t>
  </si>
  <si>
    <t>2025</t>
  </si>
  <si>
    <t>2026 (6 meses)</t>
  </si>
  <si>
    <t>Planta C</t>
  </si>
  <si>
    <t>Planta D</t>
  </si>
  <si>
    <t>Planta E</t>
  </si>
  <si>
    <t>Planta B</t>
  </si>
  <si>
    <t>No aplica — planta sin operacion (cese de fruto procesado confirmado en el consolidado 2026)</t>
  </si>
  <si>
    <t>Planta F</t>
  </si>
  <si>
    <t>General (hibrido)</t>
  </si>
  <si>
    <t>Biomasa disponible (hibrido - proxy)</t>
  </si>
  <si>
    <t>Fibra (proxy hibrido)</t>
  </si>
  <si>
    <t>pct_fibra_hibrido</t>
  </si>
  <si>
    <t>% del RFF</t>
  </si>
  <si>
    <t>Estudio zona suroccidental (proxy)</t>
  </si>
  <si>
    <t>uniforme</t>
  </si>
  <si>
    <t>PROXY -- estudio de zona suroccidental (predominio de fruto hibrido), NO medicion local de Magdalena. Distribucion uniforme (solo se conoce min/max, no un valor mas probable). Aplica a cualquier planta que procese fruto hibrido, ponderado por su pct_hibrido_procesado. Declarar como limitacion explicita en el informe (Seccion 2).</t>
  </si>
  <si>
    <t>Tusa entera / EFB (proxy hibrido)</t>
  </si>
  <si>
    <t>pct_tusa_hibrido</t>
  </si>
  <si>
    <t>APC - Aceite de Palma Crudo (proxy hibrido)</t>
  </si>
  <si>
    <t>pct_apc_hibrido</t>
  </si>
  <si>
    <t>Efluentes / POME (proxy hibrido)</t>
  </si>
  <si>
    <t>pct_efluentes_hibrido</t>
  </si>
  <si>
    <t>Nuez (proxy hibrido)</t>
  </si>
  <si>
    <t>pct_nuez_hibrido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</si>
</sst>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"/>
  </numFmts>
  <fonts count="9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1"/>
      <name val="Arial"/>
    </font>
    <font>
      <b/>
      <sz val="11"/>
      <name val="Arial"/>
    </font>
    <font>
      <sz val="10"/>
      <name val="Arial"/>
    </font>
    <font>
      <b/>
      <sz val="10"/>
      <color rgb="FFFFFFFF"/>
      <name val="Arial"/>
    </font>
    <font>
      <sz val="10"/>
      <color rgb="FF000000"/>
      <name val="Arial"/>
    </font>
    <font>
      <sz val="10"/>
      <color rgb="FF0000FF"/>
      <name val="Arial"/>
    </font>
    <font>
      <i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2E5395"/>
        <bgColor rgb="FF2E5395"/>
      </patternFill>
    </fill>
    <fill>
      <patternFill patternType="solid">
        <fgColor rgb="FFDDEBF7"/>
        <bgColor rgb="FFDDEBF7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CE4D6"/>
        <b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center" wrapText="1"/>
    </xf>
    <xf numFmtId="0" fontId="6" fillId="3" borderId="1" xfId="0" applyFont="1" applyFill="1" applyBorder="1"/>
    <xf numFmtId="164" fontId="7" fillId="3" borderId="1" xfId="0" applyNumberFormat="1" applyFont="1" applyFill="1" applyBorder="1"/>
    <xf numFmtId="164" fontId="6" fillId="3" borderId="1" xfId="0" applyNumberFormat="1" applyFont="1" applyFill="1" applyBorder="1"/>
    <xf numFmtId="0" fontId="4" fillId="4" borderId="1" xfId="0" applyFont="1" applyFill="1" applyBorder="1"/>
    <xf numFmtId="0" fontId="4" fillId="0" borderId="1" xfId="0" applyFont="1" applyBorder="1"/>
    <xf numFmtId="0" fontId="4" fillId="5" borderId="1" xfId="0" applyFont="1" applyFill="1" applyBorder="1"/>
    <xf numFmtId="2" fontId="4" fillId="5" borderId="1" xfId="0" applyNumberFormat="1" applyFont="1" applyFill="1" applyBorder="1"/>
    <xf numFmtId="0" fontId="8" fillId="4" borderId="1" xfId="0" applyFont="1" applyFill="1" applyBorder="1"/>
    <xf numFmtId="0" fontId="8" fillId="0" borderId="1" xfId="0" applyFont="1" applyBorder="1"/>
    <xf numFmtId="0" fontId="4" fillId="6" borderId="1" xfId="0" applyFont="1" applyFill="1" applyBorder="1"/>
    <xf numFmtId="2" fontId="4" fillId="6" borderId="1" xfId="0" applyNumberFormat="1" applyFont="1" applyFill="1" applyBorder="1"/>
    <xf numFmtId="0" fontId="4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1"/>
  <sheetViews>
    <sheetView tabSelected="1" workbookViewId="0"/>
  </sheetViews>
  <sheetFormatPr baseColWidth="10" defaultColWidth="8.88671875" defaultRowHeight="14.4" x14ac:dyDescent="0.3"/>
  <cols>
    <col min="1" max="1" width="3" customWidth="1"/>
    <col min="2" max="8" width="16" customWidth="1"/>
  </cols>
  <sheetData>
    <row r="2" spans="2:8" ht="17.399999999999999" x14ac:dyDescent="0.3">
      <c r="B2" s="1" t="s">
        <v>0</v>
      </c>
    </row>
    <row r="3" spans="2:8" x14ac:dyDescent="0.3">
      <c r="B3" s="2" t="s">
        <v>1</v>
      </c>
    </row>
    <row r="5" spans="2:8" x14ac:dyDescent="0.3">
      <c r="B5" s="3" t="s">
        <v>2</v>
      </c>
    </row>
    <row r="6" spans="2:8" ht="45" customHeight="1" x14ac:dyDescent="0.3">
      <c r="B6" s="16" t="s">
        <v>3</v>
      </c>
      <c r="C6" s="17"/>
      <c r="D6" s="17"/>
      <c r="E6" s="17"/>
      <c r="F6" s="17"/>
      <c r="G6" s="17"/>
      <c r="H6" s="17"/>
    </row>
    <row r="8" spans="2:8" x14ac:dyDescent="0.3">
      <c r="B8" s="3" t="s">
        <v>4</v>
      </c>
    </row>
    <row r="9" spans="2:8" ht="45" customHeight="1" x14ac:dyDescent="0.3">
      <c r="B9" s="16" t="s">
        <v>5</v>
      </c>
      <c r="C9" s="17"/>
      <c r="D9" s="17"/>
      <c r="E9" s="17"/>
      <c r="F9" s="17"/>
      <c r="G9" s="17"/>
      <c r="H9" s="17"/>
    </row>
    <row r="11" spans="2:8" x14ac:dyDescent="0.3">
      <c r="B11" s="3" t="s">
        <v>6</v>
      </c>
    </row>
    <row r="12" spans="2:8" ht="45" customHeight="1" x14ac:dyDescent="0.3">
      <c r="B12" s="16" t="s">
        <v>7</v>
      </c>
      <c r="C12" s="17"/>
      <c r="D12" s="17"/>
      <c r="E12" s="17"/>
      <c r="F12" s="17"/>
      <c r="G12" s="17"/>
      <c r="H12" s="17"/>
    </row>
    <row r="14" spans="2:8" x14ac:dyDescent="0.3">
      <c r="B14" s="3" t="s">
        <v>8</v>
      </c>
    </row>
    <row r="15" spans="2:8" ht="45" customHeight="1" x14ac:dyDescent="0.3">
      <c r="B15" s="16" t="s">
        <v>9</v>
      </c>
      <c r="C15" s="17"/>
      <c r="D15" s="17"/>
      <c r="E15" s="17"/>
      <c r="F15" s="17"/>
      <c r="G15" s="17"/>
      <c r="H15" s="17"/>
    </row>
    <row r="17" spans="2:8" x14ac:dyDescent="0.3">
      <c r="B17" s="3" t="s">
        <v>10</v>
      </c>
    </row>
    <row r="18" spans="2:8" ht="45" customHeight="1" x14ac:dyDescent="0.3">
      <c r="B18" s="16" t="s">
        <v>11</v>
      </c>
      <c r="C18" s="17"/>
      <c r="D18" s="17"/>
      <c r="E18" s="17"/>
      <c r="F18" s="17"/>
      <c r="G18" s="17"/>
      <c r="H18" s="17"/>
    </row>
    <row r="20" spans="2:8" x14ac:dyDescent="0.3">
      <c r="B20" s="3" t="s">
        <v>12</v>
      </c>
    </row>
    <row r="21" spans="2:8" ht="45" customHeight="1" x14ac:dyDescent="0.3">
      <c r="B21" s="16" t="s">
        <v>13</v>
      </c>
      <c r="C21" s="17"/>
      <c r="D21" s="17"/>
      <c r="E21" s="17"/>
      <c r="F21" s="17"/>
      <c r="G21" s="17"/>
      <c r="H21" s="17"/>
    </row>
  </sheetData>
  <mergeCells count="6">
    <mergeCell ref="B18:H18"/>
    <mergeCell ref="B9:H9"/>
    <mergeCell ref="B21:H21"/>
    <mergeCell ref="B12:H12"/>
    <mergeCell ref="B6:H6"/>
    <mergeCell ref="B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9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0" customWidth="1"/>
    <col min="2" max="2" width="18" customWidth="1"/>
    <col min="3" max="3" width="26" customWidth="1"/>
    <col min="4" max="4" width="24" customWidth="1"/>
    <col min="5" max="5" width="12" customWidth="1"/>
    <col min="6" max="6" width="10" customWidth="1"/>
    <col min="7" max="7" width="20" customWidth="1"/>
    <col min="8" max="8" width="12" customWidth="1"/>
    <col min="9" max="11" width="14" customWidth="1"/>
    <col min="12" max="12" width="32" customWidth="1"/>
  </cols>
  <sheetData>
    <row r="1" spans="1:12" ht="30" customHeight="1" x14ac:dyDescent="0.3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  <c r="L1" s="4" t="s">
        <v>25</v>
      </c>
    </row>
    <row r="2" spans="1:12" x14ac:dyDescent="0.3">
      <c r="A2" s="5" t="s">
        <v>26</v>
      </c>
      <c r="B2" s="5" t="s">
        <v>27</v>
      </c>
      <c r="C2" s="5" t="s">
        <v>28</v>
      </c>
      <c r="D2" s="5" t="s">
        <v>29</v>
      </c>
      <c r="E2" s="6">
        <v>153150</v>
      </c>
      <c r="F2" s="5" t="s">
        <v>30</v>
      </c>
      <c r="G2" s="5" t="s">
        <v>31</v>
      </c>
      <c r="H2" s="5" t="s">
        <v>32</v>
      </c>
      <c r="I2" s="5" t="s">
        <v>33</v>
      </c>
      <c r="J2" s="7"/>
      <c r="K2" s="7"/>
      <c r="L2" s="5" t="s">
        <v>34</v>
      </c>
    </row>
    <row r="3" spans="1:12" x14ac:dyDescent="0.3">
      <c r="A3" s="5" t="s">
        <v>26</v>
      </c>
      <c r="B3" s="5" t="s">
        <v>27</v>
      </c>
      <c r="C3" s="5" t="s">
        <v>35</v>
      </c>
      <c r="D3" s="5" t="s">
        <v>36</v>
      </c>
      <c r="E3" s="6">
        <v>5105</v>
      </c>
      <c r="F3" s="5" t="s">
        <v>37</v>
      </c>
      <c r="G3" s="5" t="s">
        <v>31</v>
      </c>
      <c r="H3" s="5" t="s">
        <v>32</v>
      </c>
      <c r="I3" s="5" t="s">
        <v>33</v>
      </c>
      <c r="J3" s="7"/>
      <c r="K3" s="7"/>
      <c r="L3" s="5"/>
    </row>
    <row r="4" spans="1:12" x14ac:dyDescent="0.3">
      <c r="A4" s="5" t="s">
        <v>26</v>
      </c>
      <c r="B4" s="5" t="s">
        <v>38</v>
      </c>
      <c r="C4" s="5" t="s">
        <v>39</v>
      </c>
      <c r="D4" s="5" t="s">
        <v>40</v>
      </c>
      <c r="E4" s="6">
        <v>3690</v>
      </c>
      <c r="F4" s="5" t="s">
        <v>30</v>
      </c>
      <c r="G4" s="5" t="s">
        <v>31</v>
      </c>
      <c r="H4" s="5" t="s">
        <v>32</v>
      </c>
      <c r="I4" s="5" t="s">
        <v>33</v>
      </c>
      <c r="J4" s="7"/>
      <c r="K4" s="7"/>
      <c r="L4" s="5"/>
    </row>
    <row r="5" spans="1:12" x14ac:dyDescent="0.3">
      <c r="A5" s="5" t="s">
        <v>26</v>
      </c>
      <c r="B5" s="5" t="s">
        <v>38</v>
      </c>
      <c r="C5" s="5" t="s">
        <v>41</v>
      </c>
      <c r="D5" s="5" t="s">
        <v>42</v>
      </c>
      <c r="E5" s="6">
        <v>15</v>
      </c>
      <c r="F5" s="5" t="s">
        <v>43</v>
      </c>
      <c r="G5" s="5" t="s">
        <v>31</v>
      </c>
      <c r="H5" s="5" t="s">
        <v>32</v>
      </c>
      <c r="I5" s="5" t="s">
        <v>44</v>
      </c>
      <c r="J5" s="7">
        <v>12</v>
      </c>
      <c r="K5" s="7">
        <v>18</v>
      </c>
      <c r="L5" s="5" t="s">
        <v>45</v>
      </c>
    </row>
    <row r="6" spans="1:12" x14ac:dyDescent="0.3">
      <c r="A6" s="5" t="s">
        <v>26</v>
      </c>
      <c r="B6" s="5" t="s">
        <v>46</v>
      </c>
      <c r="C6" s="5" t="s">
        <v>47</v>
      </c>
      <c r="D6" s="5" t="s">
        <v>48</v>
      </c>
      <c r="E6" s="6">
        <v>2.4</v>
      </c>
      <c r="F6" s="5" t="s">
        <v>49</v>
      </c>
      <c r="G6" s="5" t="s">
        <v>31</v>
      </c>
      <c r="H6" s="5" t="s">
        <v>32</v>
      </c>
      <c r="I6" s="5" t="s">
        <v>33</v>
      </c>
      <c r="J6" s="7"/>
      <c r="K6" s="7"/>
      <c r="L6" s="5"/>
    </row>
    <row r="7" spans="1:12" x14ac:dyDescent="0.3">
      <c r="A7" s="5" t="s">
        <v>26</v>
      </c>
      <c r="B7" s="5" t="s">
        <v>50</v>
      </c>
      <c r="C7" s="5" t="s">
        <v>51</v>
      </c>
      <c r="D7" s="5" t="s">
        <v>52</v>
      </c>
      <c r="E7" s="6">
        <v>0.11409999999999999</v>
      </c>
      <c r="F7" s="5" t="s">
        <v>53</v>
      </c>
      <c r="G7" s="5" t="s">
        <v>31</v>
      </c>
      <c r="H7" s="5" t="s">
        <v>32</v>
      </c>
      <c r="I7" s="5" t="s">
        <v>33</v>
      </c>
      <c r="J7" s="7"/>
      <c r="K7" s="7"/>
      <c r="L7" s="5"/>
    </row>
    <row r="8" spans="1:12" x14ac:dyDescent="0.3">
      <c r="A8" s="5" t="s">
        <v>26</v>
      </c>
      <c r="B8" s="5" t="s">
        <v>54</v>
      </c>
      <c r="C8" s="5" t="s">
        <v>55</v>
      </c>
      <c r="D8" s="5" t="s">
        <v>56</v>
      </c>
      <c r="E8" s="6">
        <v>7.0300000000000001E-2</v>
      </c>
      <c r="F8" s="5" t="s">
        <v>53</v>
      </c>
      <c r="G8" s="5" t="s">
        <v>57</v>
      </c>
      <c r="H8" s="5" t="s">
        <v>58</v>
      </c>
      <c r="I8" s="5" t="s">
        <v>59</v>
      </c>
      <c r="J8" s="7">
        <v>7.0000000000000007E-2</v>
      </c>
      <c r="K8" s="7">
        <v>0.25</v>
      </c>
      <c r="L8" s="5" t="s">
        <v>60</v>
      </c>
    </row>
    <row r="9" spans="1:12" x14ac:dyDescent="0.3">
      <c r="A9" s="5" t="s">
        <v>26</v>
      </c>
      <c r="B9" s="5" t="s">
        <v>61</v>
      </c>
      <c r="C9" s="5" t="s">
        <v>62</v>
      </c>
      <c r="D9" s="5" t="s">
        <v>63</v>
      </c>
      <c r="E9" s="6">
        <v>2562632</v>
      </c>
      <c r="F9" s="5" t="s">
        <v>64</v>
      </c>
      <c r="G9" s="5" t="s">
        <v>65</v>
      </c>
      <c r="H9" s="5" t="s">
        <v>66</v>
      </c>
      <c r="I9" s="5" t="s">
        <v>44</v>
      </c>
      <c r="J9" s="7">
        <v>1793842</v>
      </c>
      <c r="K9" s="7">
        <v>3331421</v>
      </c>
      <c r="L9" s="5" t="s">
        <v>67</v>
      </c>
    </row>
    <row r="10" spans="1:12" x14ac:dyDescent="0.3">
      <c r="A10" s="10" t="s">
        <v>26</v>
      </c>
      <c r="B10" s="10" t="s">
        <v>68</v>
      </c>
      <c r="C10" s="10" t="s">
        <v>69</v>
      </c>
      <c r="D10" s="10" t="s">
        <v>70</v>
      </c>
      <c r="E10" s="11">
        <v>0</v>
      </c>
      <c r="F10" s="10" t="s">
        <v>71</v>
      </c>
      <c r="G10" s="10" t="s">
        <v>72</v>
      </c>
      <c r="H10" s="10" t="s">
        <v>73</v>
      </c>
      <c r="I10" s="10" t="s">
        <v>59</v>
      </c>
      <c r="J10" s="10"/>
      <c r="K10" s="10"/>
      <c r="L10" s="10" t="s">
        <v>74</v>
      </c>
    </row>
    <row r="11" spans="1:12" x14ac:dyDescent="0.3">
      <c r="A11" s="10" t="s">
        <v>26</v>
      </c>
      <c r="B11" s="10" t="s">
        <v>68</v>
      </c>
      <c r="C11" s="10" t="s">
        <v>69</v>
      </c>
      <c r="D11" s="10" t="s">
        <v>70</v>
      </c>
      <c r="E11" s="11">
        <v>20.6</v>
      </c>
      <c r="F11" s="10" t="s">
        <v>71</v>
      </c>
      <c r="G11" s="10" t="s">
        <v>72</v>
      </c>
      <c r="H11" s="10" t="s">
        <v>75</v>
      </c>
      <c r="I11" s="10" t="s">
        <v>59</v>
      </c>
      <c r="J11" s="10"/>
      <c r="K11" s="10"/>
      <c r="L11" s="10" t="s">
        <v>74</v>
      </c>
    </row>
    <row r="12" spans="1:12" x14ac:dyDescent="0.3">
      <c r="A12" s="10" t="s">
        <v>26</v>
      </c>
      <c r="B12" s="10" t="s">
        <v>68</v>
      </c>
      <c r="C12" s="10" t="s">
        <v>69</v>
      </c>
      <c r="D12" s="10" t="s">
        <v>70</v>
      </c>
      <c r="E12" s="11">
        <v>24.3</v>
      </c>
      <c r="F12" s="10" t="s">
        <v>71</v>
      </c>
      <c r="G12" s="10" t="s">
        <v>72</v>
      </c>
      <c r="H12" s="10" t="s">
        <v>76</v>
      </c>
      <c r="I12" s="10" t="s">
        <v>59</v>
      </c>
      <c r="J12" s="10"/>
      <c r="K12" s="10"/>
      <c r="L12" s="10" t="s">
        <v>74</v>
      </c>
    </row>
    <row r="13" spans="1:12" x14ac:dyDescent="0.3">
      <c r="A13" s="10" t="s">
        <v>77</v>
      </c>
      <c r="B13" s="10" t="s">
        <v>68</v>
      </c>
      <c r="C13" s="10" t="s">
        <v>69</v>
      </c>
      <c r="D13" s="10" t="s">
        <v>70</v>
      </c>
      <c r="E13" s="11">
        <v>0</v>
      </c>
      <c r="F13" s="10" t="s">
        <v>71</v>
      </c>
      <c r="G13" s="10" t="s">
        <v>72</v>
      </c>
      <c r="H13" s="10" t="s">
        <v>73</v>
      </c>
      <c r="I13" s="10" t="s">
        <v>59</v>
      </c>
      <c r="J13" s="10"/>
      <c r="K13" s="10"/>
      <c r="L13" s="10" t="s">
        <v>74</v>
      </c>
    </row>
    <row r="14" spans="1:12" x14ac:dyDescent="0.3">
      <c r="A14" s="10" t="s">
        <v>77</v>
      </c>
      <c r="B14" s="10" t="s">
        <v>68</v>
      </c>
      <c r="C14" s="10" t="s">
        <v>69</v>
      </c>
      <c r="D14" s="10" t="s">
        <v>70</v>
      </c>
      <c r="E14" s="11">
        <v>1.41</v>
      </c>
      <c r="F14" s="10" t="s">
        <v>71</v>
      </c>
      <c r="G14" s="10" t="s">
        <v>72</v>
      </c>
      <c r="H14" s="10" t="s">
        <v>75</v>
      </c>
      <c r="I14" s="10" t="s">
        <v>59</v>
      </c>
      <c r="J14" s="10"/>
      <c r="K14" s="10"/>
      <c r="L14" s="10" t="s">
        <v>74</v>
      </c>
    </row>
    <row r="15" spans="1:12" x14ac:dyDescent="0.3">
      <c r="A15" s="10" t="s">
        <v>77</v>
      </c>
      <c r="B15" s="10" t="s">
        <v>68</v>
      </c>
      <c r="C15" s="10" t="s">
        <v>69</v>
      </c>
      <c r="D15" s="10" t="s">
        <v>70</v>
      </c>
      <c r="E15" s="11">
        <v>0</v>
      </c>
      <c r="F15" s="10" t="s">
        <v>71</v>
      </c>
      <c r="G15" s="10" t="s">
        <v>72</v>
      </c>
      <c r="H15" s="10" t="s">
        <v>76</v>
      </c>
      <c r="I15" s="10" t="s">
        <v>59</v>
      </c>
      <c r="J15" s="10"/>
      <c r="K15" s="10"/>
      <c r="L15" s="10" t="s">
        <v>74</v>
      </c>
    </row>
    <row r="16" spans="1:12" x14ac:dyDescent="0.3">
      <c r="A16" s="10" t="s">
        <v>78</v>
      </c>
      <c r="B16" s="10" t="s">
        <v>68</v>
      </c>
      <c r="C16" s="10" t="s">
        <v>69</v>
      </c>
      <c r="D16" s="10" t="s">
        <v>70</v>
      </c>
      <c r="E16" s="11">
        <v>13.93</v>
      </c>
      <c r="F16" s="10" t="s">
        <v>71</v>
      </c>
      <c r="G16" s="10" t="s">
        <v>72</v>
      </c>
      <c r="H16" s="10" t="s">
        <v>73</v>
      </c>
      <c r="I16" s="10" t="s">
        <v>59</v>
      </c>
      <c r="J16" s="10"/>
      <c r="K16" s="10"/>
      <c r="L16" s="10" t="s">
        <v>74</v>
      </c>
    </row>
    <row r="17" spans="1:12" x14ac:dyDescent="0.3">
      <c r="A17" s="10" t="s">
        <v>78</v>
      </c>
      <c r="B17" s="10" t="s">
        <v>68</v>
      </c>
      <c r="C17" s="10" t="s">
        <v>69</v>
      </c>
      <c r="D17" s="10" t="s">
        <v>70</v>
      </c>
      <c r="E17" s="11">
        <v>14.96</v>
      </c>
      <c r="F17" s="10" t="s">
        <v>71</v>
      </c>
      <c r="G17" s="10" t="s">
        <v>72</v>
      </c>
      <c r="H17" s="10" t="s">
        <v>75</v>
      </c>
      <c r="I17" s="10" t="s">
        <v>59</v>
      </c>
      <c r="J17" s="10"/>
      <c r="K17" s="10"/>
      <c r="L17" s="10" t="s">
        <v>74</v>
      </c>
    </row>
    <row r="18" spans="1:12" x14ac:dyDescent="0.3">
      <c r="A18" s="10" t="s">
        <v>78</v>
      </c>
      <c r="B18" s="10" t="s">
        <v>68</v>
      </c>
      <c r="C18" s="10" t="s">
        <v>69</v>
      </c>
      <c r="D18" s="10" t="s">
        <v>70</v>
      </c>
      <c r="E18" s="11">
        <v>36.22</v>
      </c>
      <c r="F18" s="10" t="s">
        <v>71</v>
      </c>
      <c r="G18" s="10" t="s">
        <v>72</v>
      </c>
      <c r="H18" s="10" t="s">
        <v>76</v>
      </c>
      <c r="I18" s="10" t="s">
        <v>59</v>
      </c>
      <c r="J18" s="10"/>
      <c r="K18" s="10"/>
      <c r="L18" s="10" t="s">
        <v>74</v>
      </c>
    </row>
    <row r="19" spans="1:12" x14ac:dyDescent="0.3">
      <c r="A19" s="10" t="s">
        <v>79</v>
      </c>
      <c r="B19" s="10" t="s">
        <v>68</v>
      </c>
      <c r="C19" s="10" t="s">
        <v>69</v>
      </c>
      <c r="D19" s="10" t="s">
        <v>70</v>
      </c>
      <c r="E19" s="11">
        <v>0</v>
      </c>
      <c r="F19" s="10" t="s">
        <v>71</v>
      </c>
      <c r="G19" s="10" t="s">
        <v>72</v>
      </c>
      <c r="H19" s="10" t="s">
        <v>73</v>
      </c>
      <c r="I19" s="10" t="s">
        <v>59</v>
      </c>
      <c r="J19" s="10"/>
      <c r="K19" s="10"/>
      <c r="L19" s="10" t="s">
        <v>74</v>
      </c>
    </row>
    <row r="20" spans="1:12" x14ac:dyDescent="0.3">
      <c r="A20" s="10" t="s">
        <v>79</v>
      </c>
      <c r="B20" s="10" t="s">
        <v>68</v>
      </c>
      <c r="C20" s="10" t="s">
        <v>69</v>
      </c>
      <c r="D20" s="10" t="s">
        <v>70</v>
      </c>
      <c r="E20" s="11">
        <v>0</v>
      </c>
      <c r="F20" s="10" t="s">
        <v>71</v>
      </c>
      <c r="G20" s="10" t="s">
        <v>72</v>
      </c>
      <c r="H20" s="10" t="s">
        <v>75</v>
      </c>
      <c r="I20" s="10" t="s">
        <v>59</v>
      </c>
      <c r="J20" s="10"/>
      <c r="K20" s="10"/>
      <c r="L20" s="10" t="s">
        <v>74</v>
      </c>
    </row>
    <row r="21" spans="1:12" x14ac:dyDescent="0.3">
      <c r="A21" s="10" t="s">
        <v>79</v>
      </c>
      <c r="B21" s="10" t="s">
        <v>68</v>
      </c>
      <c r="C21" s="10" t="s">
        <v>69</v>
      </c>
      <c r="D21" s="10" t="s">
        <v>70</v>
      </c>
      <c r="E21" s="11">
        <v>0</v>
      </c>
      <c r="F21" s="10" t="s">
        <v>71</v>
      </c>
      <c r="G21" s="10" t="s">
        <v>72</v>
      </c>
      <c r="H21" s="10" t="s">
        <v>76</v>
      </c>
      <c r="I21" s="10" t="s">
        <v>59</v>
      </c>
      <c r="J21" s="10"/>
      <c r="K21" s="10"/>
      <c r="L21" s="10" t="s">
        <v>74</v>
      </c>
    </row>
    <row r="22" spans="1:12" x14ac:dyDescent="0.3">
      <c r="A22" s="12" t="s">
        <v>80</v>
      </c>
      <c r="B22" s="13" t="s">
        <v>68</v>
      </c>
      <c r="C22" s="13" t="s">
        <v>69</v>
      </c>
      <c r="D22" s="13" t="s">
        <v>70</v>
      </c>
      <c r="E22" s="12"/>
      <c r="F22" s="13" t="s">
        <v>71</v>
      </c>
      <c r="G22" s="12" t="s">
        <v>72</v>
      </c>
      <c r="H22" s="13" t="s">
        <v>66</v>
      </c>
      <c r="I22" s="12" t="s">
        <v>33</v>
      </c>
      <c r="J22" s="12"/>
      <c r="K22" s="12"/>
      <c r="L22" s="13" t="s">
        <v>81</v>
      </c>
    </row>
    <row r="23" spans="1:12" x14ac:dyDescent="0.3">
      <c r="A23" s="12" t="s">
        <v>82</v>
      </c>
      <c r="B23" s="13" t="s">
        <v>68</v>
      </c>
      <c r="C23" s="13" t="s">
        <v>69</v>
      </c>
      <c r="D23" s="13" t="s">
        <v>70</v>
      </c>
      <c r="E23" s="12"/>
      <c r="F23" s="13" t="s">
        <v>71</v>
      </c>
      <c r="G23" s="12" t="s">
        <v>72</v>
      </c>
      <c r="H23" s="13" t="s">
        <v>66</v>
      </c>
      <c r="I23" s="12" t="s">
        <v>33</v>
      </c>
      <c r="J23" s="12"/>
      <c r="K23" s="12"/>
      <c r="L23" s="13" t="s">
        <v>81</v>
      </c>
    </row>
    <row r="24" spans="1:12" x14ac:dyDescent="0.3">
      <c r="A24" s="8"/>
      <c r="B24" s="9"/>
      <c r="C24" s="9"/>
      <c r="D24" s="9"/>
      <c r="E24" s="8"/>
      <c r="F24" s="9"/>
      <c r="G24" s="8"/>
      <c r="H24" s="9"/>
      <c r="I24" s="8"/>
      <c r="J24" s="8"/>
      <c r="K24" s="8"/>
      <c r="L24" s="9"/>
    </row>
    <row r="25" spans="1:12" x14ac:dyDescent="0.3">
      <c r="A25" s="8"/>
      <c r="B25" s="9"/>
      <c r="C25" s="9"/>
      <c r="D25" s="9"/>
      <c r="E25" s="8"/>
      <c r="F25" s="9"/>
      <c r="G25" s="8"/>
      <c r="H25" s="9"/>
      <c r="I25" s="8"/>
      <c r="J25" s="8"/>
      <c r="K25" s="8"/>
      <c r="L25" s="9"/>
    </row>
    <row r="26" spans="1:12" x14ac:dyDescent="0.3">
      <c r="A26" s="8"/>
      <c r="B26" s="9"/>
      <c r="C26" s="9"/>
      <c r="D26" s="9"/>
      <c r="E26" s="8"/>
      <c r="F26" s="9"/>
      <c r="G26" s="8"/>
      <c r="H26" s="9"/>
      <c r="I26" s="8"/>
      <c r="J26" s="8"/>
      <c r="K26" s="8"/>
      <c r="L26" s="9"/>
    </row>
    <row r="27" spans="1:12" x14ac:dyDescent="0.3">
      <c r="A27" s="8"/>
      <c r="B27" s="9"/>
      <c r="C27" s="9"/>
      <c r="D27" s="9"/>
      <c r="E27" s="8"/>
      <c r="F27" s="9"/>
      <c r="G27" s="8"/>
      <c r="H27" s="9"/>
      <c r="I27" s="8"/>
      <c r="J27" s="8"/>
      <c r="K27" s="8"/>
      <c r="L27" s="9"/>
    </row>
    <row r="28" spans="1:12" x14ac:dyDescent="0.3">
      <c r="A28" s="8"/>
      <c r="B28" s="9"/>
      <c r="C28" s="9"/>
      <c r="D28" s="9"/>
      <c r="E28" s="8"/>
      <c r="F28" s="9"/>
      <c r="G28" s="8"/>
      <c r="H28" s="9"/>
      <c r="I28" s="8"/>
      <c r="J28" s="8"/>
      <c r="K28" s="8"/>
      <c r="L28" s="9"/>
    </row>
    <row r="29" spans="1:12" x14ac:dyDescent="0.3">
      <c r="A29" s="8"/>
      <c r="B29" s="9"/>
      <c r="C29" s="9"/>
      <c r="D29" s="9"/>
      <c r="E29" s="8"/>
      <c r="F29" s="9"/>
      <c r="G29" s="8"/>
      <c r="H29" s="9"/>
      <c r="I29" s="8"/>
      <c r="J29" s="8"/>
      <c r="K29" s="8"/>
      <c r="L29" s="9"/>
    </row>
    <row r="30" spans="1:12" x14ac:dyDescent="0.3">
      <c r="A30" s="8"/>
      <c r="B30" s="9"/>
      <c r="C30" s="9"/>
      <c r="D30" s="9"/>
      <c r="E30" s="8"/>
      <c r="F30" s="9"/>
      <c r="G30" s="8"/>
      <c r="H30" s="9"/>
      <c r="I30" s="8"/>
      <c r="J30" s="8"/>
      <c r="K30" s="8"/>
      <c r="L30" s="9"/>
    </row>
    <row r="31" spans="1:12" x14ac:dyDescent="0.3">
      <c r="A31" s="8"/>
      <c r="B31" s="9"/>
      <c r="C31" s="9"/>
      <c r="D31" s="9"/>
      <c r="E31" s="8"/>
      <c r="F31" s="9"/>
      <c r="G31" s="8"/>
      <c r="H31" s="9"/>
      <c r="I31" s="8"/>
      <c r="J31" s="8"/>
      <c r="K31" s="8"/>
      <c r="L31" s="9"/>
    </row>
    <row r="32" spans="1:12" x14ac:dyDescent="0.3">
      <c r="A32" s="8"/>
      <c r="B32" s="9"/>
      <c r="C32" s="9"/>
      <c r="D32" s="9"/>
      <c r="E32" s="8"/>
      <c r="F32" s="9"/>
      <c r="G32" s="8"/>
      <c r="H32" s="9"/>
      <c r="I32" s="8"/>
      <c r="J32" s="8"/>
      <c r="K32" s="8"/>
      <c r="L32" s="9"/>
    </row>
    <row r="33" spans="1:12" x14ac:dyDescent="0.3">
      <c r="A33" s="8"/>
      <c r="B33" s="9"/>
      <c r="C33" s="9"/>
      <c r="D33" s="9"/>
      <c r="E33" s="8"/>
      <c r="F33" s="9"/>
      <c r="G33" s="8"/>
      <c r="H33" s="9"/>
      <c r="I33" s="8"/>
      <c r="J33" s="8"/>
      <c r="K33" s="8"/>
      <c r="L33" s="9"/>
    </row>
    <row r="34" spans="1:12" x14ac:dyDescent="0.3">
      <c r="A34" s="8"/>
      <c r="B34" s="9"/>
      <c r="C34" s="9"/>
      <c r="D34" s="9"/>
      <c r="E34" s="8"/>
      <c r="F34" s="9"/>
      <c r="G34" s="8"/>
      <c r="H34" s="9"/>
      <c r="I34" s="8"/>
      <c r="J34" s="8"/>
      <c r="K34" s="8"/>
      <c r="L34" s="9"/>
    </row>
    <row r="35" spans="1:12" x14ac:dyDescent="0.3">
      <c r="A35" s="14" t="s">
        <v>83</v>
      </c>
      <c r="B35" s="14" t="s">
        <v>84</v>
      </c>
      <c r="C35" s="14" t="s">
        <v>85</v>
      </c>
      <c r="D35" s="14" t="s">
        <v>86</v>
      </c>
      <c r="E35" s="15">
        <v>20</v>
      </c>
      <c r="F35" s="14" t="s">
        <v>87</v>
      </c>
      <c r="G35" s="14" t="s">
        <v>88</v>
      </c>
      <c r="H35" s="14"/>
      <c r="I35" s="14" t="s">
        <v>89</v>
      </c>
      <c r="J35" s="15">
        <v>16</v>
      </c>
      <c r="K35" s="15">
        <v>24</v>
      </c>
      <c r="L35" s="14" t="s">
        <v>90</v>
      </c>
    </row>
    <row r="36" spans="1:12" x14ac:dyDescent="0.3">
      <c r="A36" s="14" t="s">
        <v>83</v>
      </c>
      <c r="B36" s="14" t="s">
        <v>84</v>
      </c>
      <c r="C36" s="14" t="s">
        <v>91</v>
      </c>
      <c r="D36" s="14" t="s">
        <v>92</v>
      </c>
      <c r="E36" s="15">
        <v>21</v>
      </c>
      <c r="F36" s="14" t="s">
        <v>87</v>
      </c>
      <c r="G36" s="14" t="s">
        <v>88</v>
      </c>
      <c r="H36" s="14"/>
      <c r="I36" s="14" t="s">
        <v>89</v>
      </c>
      <c r="J36" s="15">
        <v>19</v>
      </c>
      <c r="K36" s="15">
        <v>23</v>
      </c>
      <c r="L36" s="14" t="s">
        <v>90</v>
      </c>
    </row>
    <row r="37" spans="1:12" x14ac:dyDescent="0.3">
      <c r="A37" s="14" t="s">
        <v>83</v>
      </c>
      <c r="B37" s="14" t="s">
        <v>84</v>
      </c>
      <c r="C37" s="14" t="s">
        <v>93</v>
      </c>
      <c r="D37" s="14" t="s">
        <v>94</v>
      </c>
      <c r="E37" s="15">
        <v>24.5</v>
      </c>
      <c r="F37" s="14" t="s">
        <v>87</v>
      </c>
      <c r="G37" s="14" t="s">
        <v>88</v>
      </c>
      <c r="H37" s="14"/>
      <c r="I37" s="14" t="s">
        <v>89</v>
      </c>
      <c r="J37" s="15">
        <v>20</v>
      </c>
      <c r="K37" s="15">
        <v>29</v>
      </c>
      <c r="L37" s="14" t="s">
        <v>90</v>
      </c>
    </row>
    <row r="38" spans="1:12" x14ac:dyDescent="0.3">
      <c r="A38" s="14" t="s">
        <v>83</v>
      </c>
      <c r="B38" s="14" t="s">
        <v>84</v>
      </c>
      <c r="C38" s="14" t="s">
        <v>95</v>
      </c>
      <c r="D38" s="14" t="s">
        <v>96</v>
      </c>
      <c r="E38" s="15">
        <v>32.5</v>
      </c>
      <c r="F38" s="14" t="s">
        <v>87</v>
      </c>
      <c r="G38" s="14" t="s">
        <v>88</v>
      </c>
      <c r="H38" s="14"/>
      <c r="I38" s="14" t="s">
        <v>89</v>
      </c>
      <c r="J38" s="15">
        <v>30</v>
      </c>
      <c r="K38" s="15">
        <v>35</v>
      </c>
      <c r="L38" s="14" t="s">
        <v>90</v>
      </c>
    </row>
    <row r="39" spans="1:12" x14ac:dyDescent="0.3">
      <c r="A39" s="14" t="s">
        <v>83</v>
      </c>
      <c r="B39" s="14" t="s">
        <v>84</v>
      </c>
      <c r="C39" s="14" t="s">
        <v>97</v>
      </c>
      <c r="D39" s="14" t="s">
        <v>98</v>
      </c>
      <c r="E39" s="15">
        <v>1.9</v>
      </c>
      <c r="F39" s="14" t="s">
        <v>87</v>
      </c>
      <c r="G39" s="14" t="s">
        <v>88</v>
      </c>
      <c r="H39" s="14"/>
      <c r="I39" s="14" t="s">
        <v>89</v>
      </c>
      <c r="J39" s="15">
        <v>0.3</v>
      </c>
      <c r="K39" s="15">
        <v>3.5</v>
      </c>
      <c r="L39" s="14" t="s">
        <v>90</v>
      </c>
    </row>
  </sheetData>
  <dataValidations count="2">
    <dataValidation type="list" allowBlank="1" sqref="G2:G60" xr:uid="{00000000-0002-0000-0100-000000000000}">
      <formula1>"Excel 2022,Auditoría nueva,Cotización proveedor,Dato externo,Estimado,Literatura"</formula1>
    </dataValidation>
    <dataValidation type="list" allowBlank="1" sqref="I2:I60" xr:uid="{00000000-0002-0000-0100-000001000000}">
      <formula1>"fija,uniforme,triangular,normal,historica"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Camilo Barrera Hernandez</cp:lastModifiedBy>
  <dcterms:created xsi:type="dcterms:W3CDTF">2026-07-29T01:56:30Z</dcterms:created>
  <dcterms:modified xsi:type="dcterms:W3CDTF">2026-07-29T15:29:19Z</dcterms:modified>
</cp:coreProperties>
</file>