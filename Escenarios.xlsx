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3.xml" ContentType="application/vnd.openxmlformats-officedocument.themeOverrid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unca\OneDrive - Universidad de la Costa - CUC\Tesis\"/>
    </mc:Choice>
  </mc:AlternateContent>
  <xr:revisionPtr revIDLastSave="0" documentId="13_ncr:1_{8AACAFDA-5038-4D9F-BF39-C0480956407D}" xr6:coauthVersionLast="47" xr6:coauthVersionMax="47" xr10:uidLastSave="{00000000-0000-0000-0000-000000000000}"/>
  <bookViews>
    <workbookView xWindow="1272" yWindow="1080" windowWidth="20712" windowHeight="11016" firstSheet="10" activeTab="10" xr2:uid="{EF5AE224-B2DC-405E-BF4E-1D417F055CE7}"/>
  </bookViews>
  <sheets>
    <sheet name="CAPEX" sheetId="8" r:id="rId1"/>
    <sheet name="LCA inventory" sheetId="10" state="hidden" r:id="rId2"/>
    <sheet name="RFF evolution" sheetId="11" state="hidden" r:id="rId3"/>
    <sheet name="MyE_LB" sheetId="15" state="hidden" r:id="rId4"/>
    <sheet name="Datos_Base" sheetId="17" r:id="rId5"/>
    <sheet name="Scenario 1" sheetId="12" state="hidden" r:id="rId6"/>
    <sheet name="Scenario1_Actual" sheetId="14" state="hidden" r:id="rId7"/>
    <sheet name="Scenario 2" sheetId="6" state="hidden" r:id="rId8"/>
    <sheet name="Ster_Conv" sheetId="7" state="hidden" r:id="rId9"/>
    <sheet name="Hoja1" sheetId="13" state="hidden" r:id="rId10"/>
    <sheet name="EE_PB" sheetId="16" r:id="rId11"/>
    <sheet name="Biomass" sheetId="9" r:id="rId12"/>
    <sheet name="Eficiencia" sheetId="19" r:id="rId13"/>
    <sheet name="Hoja3" sheetId="18" state="hidden" r:id="rId14"/>
    <sheet name="Scenarios1" sheetId="20" r:id="rId15"/>
    <sheet name="Scenarios2" sheetId="21" r:id="rId16"/>
    <sheet name="EmisionesCO2" sheetId="22" r:id="rId17"/>
    <sheet name="Hoja2" sheetId="23" r:id="rId18"/>
  </sheets>
  <externalReferences>
    <externalReference r:id="rId19"/>
  </externalReferences>
  <definedNames>
    <definedName name="_Toc153808675" localSheetId="4">Datos_Base!$A$28</definedName>
    <definedName name="_Toc153808676" localSheetId="4">Datos_Base!$B$28</definedName>
    <definedName name="_Toc153808677" localSheetId="4">Datos_Base!$C$28</definedName>
    <definedName name="_Toc153808678" localSheetId="4">Datos_Base!$D$28</definedName>
    <definedName name="_Toc153808679" localSheetId="4">Datos_Base!$E$28</definedName>
    <definedName name="_Toc153808680" localSheetId="4">Datos_Base!$F$28</definedName>
    <definedName name="_Toc153808681" localSheetId="4">Datos_Base!$G$28</definedName>
    <definedName name="_Toc153808682" localSheetId="4">Datos_Base!$H$28</definedName>
    <definedName name="_Toc153808683" localSheetId="4">Datos_Base!$A$29</definedName>
    <definedName name="_Toc153808684" localSheetId="4">Datos_Base!$B$29</definedName>
    <definedName name="_Toc153808685" localSheetId="4">Datos_Base!$C$29</definedName>
    <definedName name="_Toc153808686" localSheetId="4">Datos_Base!$D$29</definedName>
    <definedName name="_Toc153808687" localSheetId="4">Datos_Base!$E$29</definedName>
    <definedName name="_Toc153808688" localSheetId="4">Datos_Base!$F$29</definedName>
    <definedName name="_Toc153808689" localSheetId="4">Datos_Base!$G$29</definedName>
    <definedName name="_Toc153808690" localSheetId="4">Datos_Base!$H$29</definedName>
    <definedName name="_Toc153808691" localSheetId="4">Datos_Base!$A$30</definedName>
    <definedName name="_Toc153808692" localSheetId="4">Datos_Base!$B$30</definedName>
    <definedName name="_Toc153808693" localSheetId="4">Datos_Base!$C$30</definedName>
    <definedName name="_Toc153808694" localSheetId="4">Datos_Base!$D$30</definedName>
    <definedName name="_Toc153808695" localSheetId="4">Datos_Base!$E$30</definedName>
    <definedName name="_Toc153808696" localSheetId="4">Datos_Base!$F$30</definedName>
    <definedName name="_Toc153808697" localSheetId="4">Datos_Base!$G$30</definedName>
    <definedName name="_Toc153808698" localSheetId="4">Datos_Base!$H$30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9" i="16" l="1"/>
  <c r="AD19" i="16"/>
  <c r="AE18" i="16"/>
  <c r="AD18" i="16"/>
  <c r="AE17" i="16"/>
  <c r="AE16" i="16"/>
  <c r="AD17" i="16"/>
  <c r="AD16" i="16"/>
  <c r="Q30" i="16" l="1"/>
  <c r="K7" i="16"/>
  <c r="J6" i="16"/>
  <c r="AC19" i="16"/>
  <c r="AB19" i="16"/>
  <c r="Z19" i="16"/>
  <c r="Y19" i="16"/>
  <c r="W19" i="16"/>
  <c r="V19" i="16"/>
  <c r="T19" i="16"/>
  <c r="S19" i="16"/>
  <c r="Q19" i="16"/>
  <c r="P19" i="16"/>
  <c r="N19" i="16"/>
  <c r="AA20" i="16"/>
  <c r="U20" i="16"/>
  <c r="R20" i="16"/>
  <c r="O20" i="16"/>
  <c r="L20" i="16"/>
  <c r="AA14" i="16"/>
  <c r="X14" i="16"/>
  <c r="X20" i="16" s="1"/>
  <c r="U14" i="16"/>
  <c r="R14" i="16"/>
  <c r="O14" i="16"/>
  <c r="L14" i="16"/>
  <c r="X3" i="19"/>
  <c r="V3" i="19"/>
  <c r="T3" i="19"/>
  <c r="R3" i="19"/>
  <c r="P3" i="19"/>
  <c r="N3" i="19"/>
  <c r="AA28" i="22"/>
  <c r="AA19" i="22"/>
  <c r="Z28" i="22"/>
  <c r="Z19" i="22"/>
  <c r="AN9" i="22"/>
  <c r="I39" i="23" l="1"/>
  <c r="I38" i="23"/>
  <c r="I37" i="23"/>
  <c r="I36" i="23"/>
  <c r="I35" i="23"/>
  <c r="I34" i="23"/>
  <c r="I26" i="23"/>
  <c r="I27" i="23"/>
  <c r="I28" i="23"/>
  <c r="I29" i="23"/>
  <c r="I30" i="23"/>
  <c r="I25" i="23"/>
  <c r="Q7" i="23"/>
  <c r="Q6" i="23"/>
  <c r="S29" i="23"/>
  <c r="N29" i="23"/>
  <c r="O34" i="23"/>
  <c r="O33" i="23"/>
  <c r="O32" i="23"/>
  <c r="O31" i="23"/>
  <c r="R29" i="23"/>
  <c r="Q29" i="23"/>
  <c r="P29" i="23"/>
  <c r="O29" i="23"/>
  <c r="Q25" i="23"/>
  <c r="P18" i="23"/>
  <c r="P19" i="23"/>
  <c r="P20" i="23"/>
  <c r="P21" i="23"/>
  <c r="P22" i="23"/>
  <c r="P23" i="23"/>
  <c r="P24" i="23"/>
  <c r="O18" i="23"/>
  <c r="O19" i="23"/>
  <c r="O20" i="23"/>
  <c r="O21" i="23"/>
  <c r="O22" i="23"/>
  <c r="O23" i="23"/>
  <c r="O24" i="23"/>
  <c r="N19" i="23"/>
  <c r="N20" i="23"/>
  <c r="N21" i="23"/>
  <c r="N22" i="23"/>
  <c r="N23" i="23"/>
  <c r="N24" i="23"/>
  <c r="H40" i="23"/>
  <c r="I31" i="23"/>
  <c r="H31" i="23"/>
  <c r="H35" i="23"/>
  <c r="H36" i="23"/>
  <c r="H37" i="23"/>
  <c r="H38" i="23"/>
  <c r="H39" i="23"/>
  <c r="H34" i="23"/>
  <c r="H26" i="23"/>
  <c r="H27" i="23"/>
  <c r="H28" i="23"/>
  <c r="H29" i="23"/>
  <c r="H30" i="23"/>
  <c r="H25" i="23"/>
  <c r="G39" i="23"/>
  <c r="G38" i="23"/>
  <c r="G37" i="23"/>
  <c r="G36" i="23"/>
  <c r="G35" i="23"/>
  <c r="G34" i="23"/>
  <c r="G30" i="23"/>
  <c r="G29" i="23"/>
  <c r="G28" i="23"/>
  <c r="G27" i="23"/>
  <c r="G26" i="23"/>
  <c r="G25" i="23"/>
  <c r="A24" i="23"/>
  <c r="B24" i="23"/>
  <c r="C24" i="23"/>
  <c r="D24" i="23"/>
  <c r="E24" i="23"/>
  <c r="F24" i="23"/>
  <c r="B25" i="23"/>
  <c r="C25" i="23"/>
  <c r="D25" i="23"/>
  <c r="E25" i="23"/>
  <c r="F25" i="23"/>
  <c r="B26" i="23"/>
  <c r="C26" i="23"/>
  <c r="D26" i="23"/>
  <c r="E26" i="23"/>
  <c r="F26" i="23"/>
  <c r="B27" i="23"/>
  <c r="C27" i="23"/>
  <c r="D27" i="23"/>
  <c r="E27" i="23"/>
  <c r="F27" i="23"/>
  <c r="B28" i="23"/>
  <c r="C28" i="23"/>
  <c r="D28" i="23"/>
  <c r="E28" i="23"/>
  <c r="F28" i="23"/>
  <c r="B29" i="23"/>
  <c r="C29" i="23"/>
  <c r="D29" i="23"/>
  <c r="E29" i="23"/>
  <c r="F29" i="23"/>
  <c r="B30" i="23"/>
  <c r="C30" i="23"/>
  <c r="D30" i="23"/>
  <c r="E30" i="23"/>
  <c r="F30" i="23"/>
  <c r="A31" i="23"/>
  <c r="B31" i="23"/>
  <c r="C31" i="23"/>
  <c r="D31" i="23"/>
  <c r="E31" i="23"/>
  <c r="F31" i="23"/>
  <c r="G31" i="23"/>
  <c r="A32" i="23"/>
  <c r="B32" i="23"/>
  <c r="C32" i="23"/>
  <c r="D32" i="23"/>
  <c r="E32" i="23"/>
  <c r="F32" i="23"/>
  <c r="G32" i="23"/>
  <c r="A33" i="23"/>
  <c r="B33" i="23"/>
  <c r="C33" i="23"/>
  <c r="D33" i="23"/>
  <c r="E33" i="23"/>
  <c r="F33" i="23"/>
  <c r="B34" i="23"/>
  <c r="C34" i="23"/>
  <c r="D34" i="23"/>
  <c r="E34" i="23"/>
  <c r="F34" i="23"/>
  <c r="B35" i="23"/>
  <c r="C35" i="23"/>
  <c r="D35" i="23"/>
  <c r="E35" i="23"/>
  <c r="F35" i="23"/>
  <c r="B36" i="23"/>
  <c r="C36" i="23"/>
  <c r="D36" i="23"/>
  <c r="E36" i="23"/>
  <c r="F36" i="23"/>
  <c r="B37" i="23"/>
  <c r="C37" i="23"/>
  <c r="D37" i="23"/>
  <c r="E37" i="23"/>
  <c r="F37" i="23"/>
  <c r="B38" i="23"/>
  <c r="C38" i="23"/>
  <c r="D38" i="23"/>
  <c r="E38" i="23"/>
  <c r="F38" i="23"/>
  <c r="B39" i="23"/>
  <c r="C39" i="23"/>
  <c r="D39" i="23"/>
  <c r="E39" i="23"/>
  <c r="F39" i="23"/>
  <c r="C14" i="23"/>
  <c r="C13" i="23"/>
  <c r="B15" i="23"/>
  <c r="J7" i="23"/>
  <c r="J6" i="23"/>
  <c r="J5" i="23"/>
  <c r="N10" i="22"/>
  <c r="O10" i="22"/>
  <c r="P4" i="22"/>
  <c r="L10" i="22"/>
  <c r="AM11" i="22"/>
  <c r="AM10" i="22"/>
  <c r="AJ10" i="22"/>
  <c r="AK10" i="22"/>
  <c r="AL10" i="22"/>
  <c r="AI10" i="22"/>
  <c r="Z27" i="22"/>
  <c r="Y27" i="22"/>
  <c r="Y26" i="22"/>
  <c r="Z26" i="22" s="1"/>
  <c r="Y25" i="22"/>
  <c r="Z25" i="22" s="1"/>
  <c r="Z24" i="22"/>
  <c r="Y24" i="22"/>
  <c r="Y23" i="22"/>
  <c r="Z23" i="22" s="1"/>
  <c r="Y22" i="22"/>
  <c r="Z22" i="22" s="1"/>
  <c r="X23" i="22"/>
  <c r="X24" i="22"/>
  <c r="X25" i="22"/>
  <c r="X26" i="22"/>
  <c r="X27" i="22"/>
  <c r="X22" i="22"/>
  <c r="W27" i="22"/>
  <c r="W26" i="22"/>
  <c r="W25" i="22"/>
  <c r="W24" i="22"/>
  <c r="W23" i="22"/>
  <c r="W22" i="22"/>
  <c r="Z14" i="22"/>
  <c r="Z15" i="22"/>
  <c r="Z16" i="22"/>
  <c r="Z17" i="22"/>
  <c r="Z18" i="22"/>
  <c r="Z13" i="22"/>
  <c r="Y14" i="22"/>
  <c r="Y15" i="22"/>
  <c r="Y16" i="22"/>
  <c r="Y17" i="22"/>
  <c r="Y18" i="22"/>
  <c r="Y13" i="22"/>
  <c r="X14" i="22"/>
  <c r="X15" i="22"/>
  <c r="X16" i="22"/>
  <c r="X17" i="22"/>
  <c r="X18" i="22"/>
  <c r="X13" i="22"/>
  <c r="W14" i="22"/>
  <c r="W15" i="22"/>
  <c r="W16" i="22"/>
  <c r="W17" i="22"/>
  <c r="W18" i="22"/>
  <c r="W13" i="22"/>
  <c r="AM4" i="22"/>
  <c r="X4" i="22"/>
  <c r="AA4" i="22"/>
  <c r="P22" i="22"/>
  <c r="P23" i="22"/>
  <c r="P24" i="22"/>
  <c r="P25" i="22"/>
  <c r="P26" i="22"/>
  <c r="P27" i="22"/>
  <c r="K22" i="22"/>
  <c r="K23" i="22"/>
  <c r="K24" i="22"/>
  <c r="K25" i="22"/>
  <c r="K26" i="22"/>
  <c r="K27" i="22"/>
  <c r="O22" i="22"/>
  <c r="N27" i="22"/>
  <c r="N26" i="22"/>
  <c r="N25" i="22"/>
  <c r="O25" i="22" s="1"/>
  <c r="N24" i="22"/>
  <c r="N23" i="22"/>
  <c r="N22" i="22"/>
  <c r="O24" i="22"/>
  <c r="I27" i="22"/>
  <c r="I26" i="22"/>
  <c r="I25" i="22"/>
  <c r="I24" i="22"/>
  <c r="I23" i="22"/>
  <c r="J23" i="22" s="1"/>
  <c r="I22" i="22"/>
  <c r="H27" i="22"/>
  <c r="H26" i="22"/>
  <c r="H25" i="22"/>
  <c r="H24" i="22"/>
  <c r="H23" i="22"/>
  <c r="H22" i="22"/>
  <c r="G27" i="22"/>
  <c r="G26" i="22"/>
  <c r="G25" i="22"/>
  <c r="G24" i="22"/>
  <c r="G23" i="22"/>
  <c r="G22" i="22"/>
  <c r="U27" i="22"/>
  <c r="O27" i="22"/>
  <c r="R27" i="22" s="1"/>
  <c r="J27" i="22"/>
  <c r="V27" i="22"/>
  <c r="F27" i="22"/>
  <c r="U26" i="22"/>
  <c r="O26" i="22"/>
  <c r="J26" i="22"/>
  <c r="V26" i="22"/>
  <c r="F26" i="22"/>
  <c r="V25" i="22"/>
  <c r="U25" i="22"/>
  <c r="J25" i="22"/>
  <c r="F25" i="22"/>
  <c r="U24" i="22"/>
  <c r="J24" i="22"/>
  <c r="V24" i="22"/>
  <c r="F24" i="22"/>
  <c r="U23" i="22"/>
  <c r="O23" i="22"/>
  <c r="V23" i="22"/>
  <c r="F23" i="22"/>
  <c r="U22" i="22"/>
  <c r="J22" i="22"/>
  <c r="F22" i="22"/>
  <c r="V13" i="22"/>
  <c r="AM7" i="22"/>
  <c r="U13" i="22"/>
  <c r="R14" i="22"/>
  <c r="S14" i="22" s="1"/>
  <c r="R15" i="22"/>
  <c r="R16" i="22"/>
  <c r="R17" i="22"/>
  <c r="R18" i="22"/>
  <c r="R13" i="22"/>
  <c r="Q14" i="22"/>
  <c r="Q15" i="22"/>
  <c r="Q16" i="22"/>
  <c r="Q17" i="22"/>
  <c r="Q18" i="22"/>
  <c r="Q13" i="22"/>
  <c r="M14" i="22"/>
  <c r="M15" i="22"/>
  <c r="M16" i="22"/>
  <c r="M17" i="22"/>
  <c r="S17" i="22" s="1"/>
  <c r="M18" i="22"/>
  <c r="M13" i="22"/>
  <c r="L14" i="22"/>
  <c r="L15" i="22"/>
  <c r="L16" i="22"/>
  <c r="L17" i="22"/>
  <c r="L18" i="22"/>
  <c r="L13" i="22"/>
  <c r="AJ4" i="22"/>
  <c r="S13" i="22"/>
  <c r="V14" i="22"/>
  <c r="V15" i="22"/>
  <c r="V16" i="22"/>
  <c r="V17" i="22"/>
  <c r="V18" i="22"/>
  <c r="S15" i="22"/>
  <c r="S18" i="22"/>
  <c r="U14" i="22"/>
  <c r="U15" i="22"/>
  <c r="U16" i="22"/>
  <c r="U17" i="22"/>
  <c r="U18" i="22"/>
  <c r="Z4" i="22"/>
  <c r="Y4" i="22"/>
  <c r="P14" i="22"/>
  <c r="P15" i="22"/>
  <c r="P16" i="22"/>
  <c r="P17" i="22"/>
  <c r="P18" i="22"/>
  <c r="P13" i="22"/>
  <c r="O14" i="22"/>
  <c r="O15" i="22"/>
  <c r="O16" i="22"/>
  <c r="O17" i="22"/>
  <c r="O18" i="22"/>
  <c r="O13" i="22"/>
  <c r="N18" i="22"/>
  <c r="N17" i="22"/>
  <c r="N16" i="22"/>
  <c r="N15" i="22"/>
  <c r="N14" i="22"/>
  <c r="N13" i="22"/>
  <c r="K15" i="22"/>
  <c r="J14" i="22"/>
  <c r="K14" i="22" s="1"/>
  <c r="J15" i="22"/>
  <c r="J16" i="22"/>
  <c r="J17" i="22"/>
  <c r="J18" i="22"/>
  <c r="I18" i="22"/>
  <c r="I17" i="22"/>
  <c r="I16" i="22"/>
  <c r="I15" i="22"/>
  <c r="I14" i="22"/>
  <c r="I13" i="22"/>
  <c r="J13" i="22" s="1"/>
  <c r="D29" i="20"/>
  <c r="E29" i="20"/>
  <c r="F29" i="20"/>
  <c r="G29" i="20"/>
  <c r="H29" i="20"/>
  <c r="C29" i="20"/>
  <c r="F18" i="22"/>
  <c r="F17" i="22"/>
  <c r="F16" i="22"/>
  <c r="F15" i="22"/>
  <c r="F14" i="22"/>
  <c r="F13" i="22"/>
  <c r="W4" i="22"/>
  <c r="R4" i="22"/>
  <c r="AC7" i="22"/>
  <c r="AF7" i="22" s="1"/>
  <c r="F219" i="19"/>
  <c r="C241" i="19"/>
  <c r="Q4" i="22"/>
  <c r="V22" i="22" l="1"/>
  <c r="L22" i="22"/>
  <c r="M22" i="22"/>
  <c r="R22" i="22"/>
  <c r="Q22" i="22"/>
  <c r="M25" i="22"/>
  <c r="L25" i="22"/>
  <c r="M24" i="22"/>
  <c r="L24" i="22"/>
  <c r="M26" i="22"/>
  <c r="L26" i="22"/>
  <c r="M23" i="22"/>
  <c r="L23" i="22"/>
  <c r="R23" i="22"/>
  <c r="Q23" i="22"/>
  <c r="R25" i="22"/>
  <c r="Q25" i="22"/>
  <c r="M27" i="22"/>
  <c r="L27" i="22"/>
  <c r="R24" i="22"/>
  <c r="Q24" i="22"/>
  <c r="Q26" i="22"/>
  <c r="R26" i="22"/>
  <c r="Q27" i="22"/>
  <c r="K20" i="22"/>
  <c r="L20" i="22" s="1"/>
  <c r="S16" i="22"/>
  <c r="K13" i="22"/>
  <c r="AD7" i="22"/>
  <c r="AE7" i="22"/>
  <c r="AG7" i="22" s="1"/>
  <c r="K18" i="22"/>
  <c r="K17" i="22"/>
  <c r="K16" i="22"/>
  <c r="U4" i="22"/>
  <c r="T4" i="22"/>
  <c r="S4" i="22"/>
  <c r="S26" i="22" l="1"/>
  <c r="S24" i="22"/>
  <c r="S25" i="22"/>
  <c r="S22" i="22"/>
  <c r="S23" i="22"/>
  <c r="S27" i="22"/>
  <c r="AL4" i="22"/>
  <c r="AK7" i="22"/>
  <c r="Q9" i="22" l="1"/>
  <c r="R9" i="22" s="1"/>
  <c r="Q8" i="22"/>
  <c r="R8" i="22" s="1"/>
  <c r="Q7" i="22"/>
  <c r="R7" i="22" s="1"/>
  <c r="Q6" i="22"/>
  <c r="R6" i="22" s="1"/>
  <c r="Q5" i="22"/>
  <c r="R5" i="22" s="1"/>
  <c r="O7" i="22"/>
  <c r="O8" i="22"/>
  <c r="N8" i="22"/>
  <c r="N9" i="22"/>
  <c r="M7" i="22"/>
  <c r="M8" i="22"/>
  <c r="L9" i="22"/>
  <c r="L8" i="22"/>
  <c r="L7" i="22"/>
  <c r="L6" i="22"/>
  <c r="L5" i="22"/>
  <c r="L4" i="22"/>
  <c r="K9" i="22"/>
  <c r="K8" i="22"/>
  <c r="K7" i="22"/>
  <c r="K6" i="22"/>
  <c r="K5" i="22"/>
  <c r="K4" i="22"/>
  <c r="F5" i="22"/>
  <c r="F6" i="22"/>
  <c r="F7" i="22"/>
  <c r="F8" i="22"/>
  <c r="F9" i="22"/>
  <c r="F4" i="22"/>
  <c r="O9" i="22" l="1"/>
  <c r="AI9" i="22"/>
  <c r="O4" i="22"/>
  <c r="AI4" i="22"/>
  <c r="O6" i="22"/>
  <c r="AI6" i="22"/>
  <c r="P7" i="22"/>
  <c r="AI7" i="22"/>
  <c r="O5" i="22"/>
  <c r="AI5" i="22"/>
  <c r="P8" i="22"/>
  <c r="AI8" i="22"/>
  <c r="P9" i="22"/>
  <c r="S5" i="22"/>
  <c r="U5" i="22"/>
  <c r="T5" i="22"/>
  <c r="U6" i="22"/>
  <c r="S6" i="22"/>
  <c r="T6" i="22"/>
  <c r="U7" i="22"/>
  <c r="S7" i="22"/>
  <c r="T7" i="22"/>
  <c r="T8" i="22"/>
  <c r="U8" i="22"/>
  <c r="S8" i="22"/>
  <c r="U9" i="22"/>
  <c r="S9" i="22"/>
  <c r="T9" i="22"/>
  <c r="N4" i="22"/>
  <c r="V4" i="22"/>
  <c r="N7" i="22"/>
  <c r="AH7" i="22" s="1"/>
  <c r="N6" i="22"/>
  <c r="P6" i="22"/>
  <c r="N5" i="22"/>
  <c r="P5" i="22"/>
  <c r="M4" i="22"/>
  <c r="AB4" i="22" s="1"/>
  <c r="M9" i="22"/>
  <c r="M6" i="22"/>
  <c r="M5" i="22"/>
  <c r="AL7" i="22" l="1"/>
  <c r="V7" i="22"/>
  <c r="AM8" i="22"/>
  <c r="AM5" i="22"/>
  <c r="V6" i="22"/>
  <c r="AL6" i="22"/>
  <c r="AL9" i="22"/>
  <c r="V9" i="22"/>
  <c r="AM6" i="22"/>
  <c r="AM9" i="22"/>
  <c r="V5" i="22"/>
  <c r="AL5" i="22"/>
  <c r="AL8" i="22"/>
  <c r="V8" i="22"/>
  <c r="M51" i="21"/>
  <c r="L57" i="21"/>
  <c r="L58" i="21" s="1"/>
  <c r="B55" i="21"/>
  <c r="I4" i="19"/>
  <c r="J5" i="19" s="1"/>
  <c r="I6" i="19"/>
  <c r="I5" i="19"/>
  <c r="BH25" i="16"/>
  <c r="BG26" i="16"/>
  <c r="BG23" i="16"/>
  <c r="BE23" i="16"/>
  <c r="BE24" i="16"/>
  <c r="BE27" i="16"/>
  <c r="BD25" i="16"/>
  <c r="BC23" i="16"/>
  <c r="BC24" i="16"/>
  <c r="BC27" i="16"/>
  <c r="AO37" i="16"/>
  <c r="AN37" i="16"/>
  <c r="AM37" i="16"/>
  <c r="AO36" i="16"/>
  <c r="AN36" i="16"/>
  <c r="AO34" i="16"/>
  <c r="AN34" i="16"/>
  <c r="AO33" i="16"/>
  <c r="AN33" i="16"/>
  <c r="AO30" i="16"/>
  <c r="AN30" i="16"/>
  <c r="AM30" i="16"/>
  <c r="AO29" i="16"/>
  <c r="AN29" i="16"/>
  <c r="AM29" i="16"/>
  <c r="AU21" i="16"/>
  <c r="AV21" i="16"/>
  <c r="AW21" i="16"/>
  <c r="AX21" i="16"/>
  <c r="AY21" i="16"/>
  <c r="AZ21" i="16"/>
  <c r="AU22" i="16"/>
  <c r="BC22" i="16" s="1"/>
  <c r="AW22" i="16"/>
  <c r="BD22" i="16" s="1"/>
  <c r="AX22" i="16"/>
  <c r="BG22" i="16" s="1"/>
  <c r="AY22" i="16"/>
  <c r="BE22" i="16" s="1"/>
  <c r="AZ22" i="16"/>
  <c r="BH22" i="16" s="1"/>
  <c r="AU23" i="16"/>
  <c r="AW23" i="16"/>
  <c r="BD23" i="16" s="1"/>
  <c r="AX23" i="16"/>
  <c r="AY23" i="16"/>
  <c r="AZ23" i="16"/>
  <c r="BH23" i="16" s="1"/>
  <c r="AU24" i="16"/>
  <c r="AW24" i="16"/>
  <c r="BD24" i="16" s="1"/>
  <c r="AX24" i="16"/>
  <c r="BG24" i="16" s="1"/>
  <c r="AY24" i="16"/>
  <c r="AZ24" i="16"/>
  <c r="BH24" i="16" s="1"/>
  <c r="AU25" i="16"/>
  <c r="BC25" i="16" s="1"/>
  <c r="AV25" i="16"/>
  <c r="AW25" i="16"/>
  <c r="AX25" i="16"/>
  <c r="BG25" i="16" s="1"/>
  <c r="AY25" i="16"/>
  <c r="BE25" i="16" s="1"/>
  <c r="AZ25" i="16"/>
  <c r="AU26" i="16"/>
  <c r="BC26" i="16" s="1"/>
  <c r="AV26" i="16"/>
  <c r="AW26" i="16"/>
  <c r="BD26" i="16" s="1"/>
  <c r="AX26" i="16"/>
  <c r="AY26" i="16"/>
  <c r="BE26" i="16" s="1"/>
  <c r="AZ26" i="16"/>
  <c r="BH26" i="16" s="1"/>
  <c r="AU27" i="16"/>
  <c r="AV27" i="16"/>
  <c r="AW27" i="16"/>
  <c r="BD27" i="16" s="1"/>
  <c r="AX27" i="16"/>
  <c r="BG27" i="16" s="1"/>
  <c r="AY27" i="16"/>
  <c r="AZ27" i="16"/>
  <c r="BH27" i="16" s="1"/>
  <c r="AG29" i="16"/>
  <c r="AV22" i="16" s="1"/>
  <c r="BF22" i="16" s="1"/>
  <c r="AE33" i="16"/>
  <c r="AT26" i="16" s="1"/>
  <c r="BB26" i="16" s="1"/>
  <c r="AL20" i="16"/>
  <c r="AE32" i="16" s="1"/>
  <c r="AT25" i="16" s="1"/>
  <c r="BB25" i="16" s="1"/>
  <c r="AJ27" i="16"/>
  <c r="AY20" i="16" s="1"/>
  <c r="AH27" i="16"/>
  <c r="AW20" i="16" s="1"/>
  <c r="AF27" i="16"/>
  <c r="AU20" i="16" s="1"/>
  <c r="AG31" i="16"/>
  <c r="AV24" i="16" s="1"/>
  <c r="AG30" i="16"/>
  <c r="AV23" i="16" s="1"/>
  <c r="AQ22" i="16"/>
  <c r="AO22" i="16"/>
  <c r="AM22" i="16"/>
  <c r="AK22" i="16"/>
  <c r="AI22" i="16"/>
  <c r="AG22" i="16"/>
  <c r="AP20" i="16"/>
  <c r="AE34" i="16" s="1"/>
  <c r="AT27" i="16" s="1"/>
  <c r="BB27" i="16" s="1"/>
  <c r="AN20" i="16"/>
  <c r="AJ20" i="16"/>
  <c r="AE31" i="16" s="1"/>
  <c r="AT24" i="16" s="1"/>
  <c r="BB24" i="16" s="1"/>
  <c r="AH20" i="16"/>
  <c r="AE30" i="16" s="1"/>
  <c r="AT23" i="16" s="1"/>
  <c r="BB23" i="16" s="1"/>
  <c r="AF20" i="16"/>
  <c r="AE29" i="16" s="1"/>
  <c r="AT22" i="16" s="1"/>
  <c r="BB22" i="16" s="1"/>
  <c r="AA22" i="16"/>
  <c r="U22" i="16"/>
  <c r="X26" i="19"/>
  <c r="T26" i="19"/>
  <c r="D226" i="19"/>
  <c r="D49" i="20" s="1"/>
  <c r="D53" i="21" s="1"/>
  <c r="E226" i="19"/>
  <c r="E49" i="20" s="1"/>
  <c r="E53" i="21" s="1"/>
  <c r="G226" i="19"/>
  <c r="G49" i="20" s="1"/>
  <c r="G53" i="21" s="1"/>
  <c r="C226" i="19"/>
  <c r="C49" i="20" s="1"/>
  <c r="C53" i="21" s="1"/>
  <c r="N46" i="21"/>
  <c r="L64" i="21"/>
  <c r="L63" i="21"/>
  <c r="M61" i="21"/>
  <c r="L50" i="21"/>
  <c r="I42" i="21" l="1"/>
  <c r="L28" i="21"/>
  <c r="L20" i="21"/>
  <c r="I14" i="21"/>
  <c r="I17" i="21"/>
  <c r="I18" i="21"/>
  <c r="I21" i="21"/>
  <c r="I33" i="21"/>
  <c r="I44" i="21"/>
  <c r="I47" i="21"/>
  <c r="I67" i="21"/>
  <c r="I70" i="21"/>
  <c r="I40" i="20"/>
  <c r="I35" i="19"/>
  <c r="I7" i="19"/>
  <c r="C134" i="19"/>
  <c r="C132" i="19"/>
  <c r="G69" i="21"/>
  <c r="C66" i="21"/>
  <c r="A66" i="21"/>
  <c r="C65" i="21"/>
  <c r="A65" i="21"/>
  <c r="A64" i="21"/>
  <c r="A63" i="21"/>
  <c r="G13" i="21"/>
  <c r="G12" i="21"/>
  <c r="G10" i="21"/>
  <c r="E10" i="21"/>
  <c r="D10" i="21"/>
  <c r="C10" i="21"/>
  <c r="H7" i="21"/>
  <c r="G7" i="21"/>
  <c r="F7" i="21"/>
  <c r="E7" i="21"/>
  <c r="D7" i="21"/>
  <c r="C7" i="21"/>
  <c r="G57" i="20"/>
  <c r="D160" i="19"/>
  <c r="E160" i="19"/>
  <c r="F160" i="19"/>
  <c r="G160" i="19"/>
  <c r="H160" i="19"/>
  <c r="C160" i="19"/>
  <c r="A51" i="20"/>
  <c r="A52" i="20"/>
  <c r="A53" i="20"/>
  <c r="C53" i="20"/>
  <c r="A54" i="20"/>
  <c r="C54" i="20"/>
  <c r="G13" i="20"/>
  <c r="G12" i="20"/>
  <c r="G10" i="20"/>
  <c r="E10" i="20"/>
  <c r="D10" i="20"/>
  <c r="C10" i="20"/>
  <c r="H7" i="20"/>
  <c r="D7" i="20"/>
  <c r="E7" i="20"/>
  <c r="F7" i="20"/>
  <c r="G7" i="20"/>
  <c r="C7" i="20"/>
  <c r="S8" i="17"/>
  <c r="U8" i="17"/>
  <c r="V8" i="17"/>
  <c r="W8" i="17"/>
  <c r="X8" i="17"/>
  <c r="T8" i="17"/>
  <c r="D241" i="19"/>
  <c r="E241" i="19"/>
  <c r="F241" i="19"/>
  <c r="G241" i="19"/>
  <c r="H241" i="19"/>
  <c r="C242" i="19"/>
  <c r="D242" i="19"/>
  <c r="E242" i="19"/>
  <c r="F242" i="19"/>
  <c r="G242" i="19"/>
  <c r="H242" i="19"/>
  <c r="E229" i="19"/>
  <c r="E230" i="19" s="1"/>
  <c r="F229" i="19"/>
  <c r="F220" i="19"/>
  <c r="D229" i="19"/>
  <c r="D230" i="19" s="1"/>
  <c r="G229" i="19"/>
  <c r="G230" i="19" s="1"/>
  <c r="H229" i="19"/>
  <c r="H230" i="19" s="1"/>
  <c r="D232" i="19"/>
  <c r="E232" i="19"/>
  <c r="G232" i="19"/>
  <c r="C232" i="19"/>
  <c r="C229" i="19"/>
  <c r="C230" i="19" s="1"/>
  <c r="H220" i="19"/>
  <c r="M10" i="17"/>
  <c r="N10" i="17"/>
  <c r="O10" i="17"/>
  <c r="L10" i="17"/>
  <c r="P5" i="17"/>
  <c r="P6" i="17"/>
  <c r="P7" i="17"/>
  <c r="P8" i="17"/>
  <c r="P9" i="17"/>
  <c r="P4" i="17"/>
  <c r="H159" i="19"/>
  <c r="E159" i="19"/>
  <c r="F159" i="19"/>
  <c r="D159" i="19"/>
  <c r="C159" i="19"/>
  <c r="G158" i="19"/>
  <c r="H232" i="19" l="1"/>
  <c r="H233" i="19" s="1"/>
  <c r="H240" i="19" s="1"/>
  <c r="H226" i="19"/>
  <c r="H49" i="20" s="1"/>
  <c r="H53" i="21" s="1"/>
  <c r="F232" i="19"/>
  <c r="F226" i="19"/>
  <c r="F49" i="20" s="1"/>
  <c r="F53" i="21" s="1"/>
  <c r="I7" i="21"/>
  <c r="G16" i="21"/>
  <c r="G16" i="20"/>
  <c r="P10" i="17"/>
  <c r="D233" i="19"/>
  <c r="D240" i="19" s="1"/>
  <c r="F230" i="19"/>
  <c r="E233" i="19"/>
  <c r="E240" i="19" s="1"/>
  <c r="G233" i="19"/>
  <c r="G240" i="19" s="1"/>
  <c r="C233" i="19"/>
  <c r="C240" i="19" s="1"/>
  <c r="M11" i="17"/>
  <c r="L11" i="17"/>
  <c r="N11" i="17"/>
  <c r="O11" i="17"/>
  <c r="F233" i="19" l="1"/>
  <c r="F240" i="19" s="1"/>
  <c r="D207" i="19"/>
  <c r="E207" i="19"/>
  <c r="F207" i="19"/>
  <c r="G207" i="19"/>
  <c r="H207" i="19"/>
  <c r="I207" i="19"/>
  <c r="C207" i="19"/>
  <c r="D72" i="19"/>
  <c r="E72" i="19"/>
  <c r="F72" i="19"/>
  <c r="G72" i="19"/>
  <c r="H72" i="19"/>
  <c r="C72" i="19"/>
  <c r="C73" i="19"/>
  <c r="D111" i="19"/>
  <c r="E111" i="19"/>
  <c r="F111" i="19"/>
  <c r="G111" i="19"/>
  <c r="H111" i="19"/>
  <c r="C115" i="19"/>
  <c r="C117" i="19"/>
  <c r="C111" i="19"/>
  <c r="D110" i="19"/>
  <c r="Q13" i="19" s="1"/>
  <c r="E110" i="19"/>
  <c r="S13" i="19" s="1"/>
  <c r="F110" i="19"/>
  <c r="U13" i="19" s="1"/>
  <c r="G110" i="19"/>
  <c r="W13" i="19" s="1"/>
  <c r="H110" i="19"/>
  <c r="Y13" i="19" s="1"/>
  <c r="C110" i="19"/>
  <c r="O13" i="19" s="1"/>
  <c r="D115" i="19" l="1"/>
  <c r="E115" i="19"/>
  <c r="F115" i="19"/>
  <c r="G115" i="19"/>
  <c r="H115" i="19"/>
  <c r="D117" i="19"/>
  <c r="E117" i="19"/>
  <c r="F117" i="19"/>
  <c r="G117" i="19"/>
  <c r="H117" i="19"/>
  <c r="K112" i="19"/>
  <c r="K113" i="19" s="1"/>
  <c r="K109" i="19"/>
  <c r="K108" i="19"/>
  <c r="K99" i="19"/>
  <c r="K101" i="19" s="1"/>
  <c r="K98" i="19"/>
  <c r="P41" i="9"/>
  <c r="I25" i="19"/>
  <c r="D15" i="19"/>
  <c r="E15" i="19"/>
  <c r="F15" i="19"/>
  <c r="G15" i="19"/>
  <c r="H15" i="19"/>
  <c r="C15" i="19"/>
  <c r="V18" i="19"/>
  <c r="T20" i="19"/>
  <c r="T22" i="19"/>
  <c r="H197" i="19"/>
  <c r="F197" i="19"/>
  <c r="D138" i="19"/>
  <c r="E138" i="19"/>
  <c r="F138" i="19"/>
  <c r="G138" i="19"/>
  <c r="H138" i="19"/>
  <c r="C138" i="19"/>
  <c r="Q41" i="9"/>
  <c r="Q40" i="9"/>
  <c r="P40" i="9"/>
  <c r="D36" i="19"/>
  <c r="D34" i="21" s="1"/>
  <c r="E36" i="19"/>
  <c r="E34" i="21" s="1"/>
  <c r="F36" i="19"/>
  <c r="F34" i="21" s="1"/>
  <c r="G36" i="19"/>
  <c r="G34" i="21" s="1"/>
  <c r="G38" i="21" s="1"/>
  <c r="H36" i="19"/>
  <c r="H34" i="21" s="1"/>
  <c r="C36" i="19"/>
  <c r="C34" i="21" s="1"/>
  <c r="D130" i="19"/>
  <c r="E130" i="19"/>
  <c r="F130" i="19"/>
  <c r="G130" i="19"/>
  <c r="H130" i="19"/>
  <c r="C130" i="19"/>
  <c r="D169" i="19"/>
  <c r="E169" i="19"/>
  <c r="F169" i="19"/>
  <c r="G169" i="19"/>
  <c r="H169" i="19"/>
  <c r="D170" i="19"/>
  <c r="E170" i="19"/>
  <c r="F170" i="19"/>
  <c r="G170" i="19"/>
  <c r="H170" i="19"/>
  <c r="D175" i="19"/>
  <c r="E175" i="19"/>
  <c r="F175" i="19"/>
  <c r="G175" i="19"/>
  <c r="H175" i="19"/>
  <c r="C175" i="19"/>
  <c r="C170" i="19"/>
  <c r="D180" i="19" s="1"/>
  <c r="C169" i="19"/>
  <c r="F171" i="19" s="1"/>
  <c r="E40" i="9"/>
  <c r="E39" i="9"/>
  <c r="E38" i="9"/>
  <c r="F47" i="9"/>
  <c r="E47" i="9"/>
  <c r="G51" i="9"/>
  <c r="F51" i="9"/>
  <c r="E51" i="9"/>
  <c r="G50" i="9"/>
  <c r="F50" i="9"/>
  <c r="E50" i="9"/>
  <c r="G49" i="9"/>
  <c r="F49" i="9"/>
  <c r="E49" i="9"/>
  <c r="G48" i="9"/>
  <c r="F48" i="9"/>
  <c r="E48" i="9"/>
  <c r="G47" i="9"/>
  <c r="E46" i="9"/>
  <c r="C46" i="9"/>
  <c r="Q20" i="19"/>
  <c r="U20" i="19"/>
  <c r="W20" i="19"/>
  <c r="Y20" i="19"/>
  <c r="O20" i="19"/>
  <c r="C127" i="19"/>
  <c r="D127" i="19"/>
  <c r="E127" i="19"/>
  <c r="F127" i="19"/>
  <c r="G127" i="19"/>
  <c r="H127" i="19"/>
  <c r="D147" i="19"/>
  <c r="E147" i="19"/>
  <c r="F147" i="19"/>
  <c r="G147" i="19"/>
  <c r="H147" i="19"/>
  <c r="C147" i="19"/>
  <c r="D137" i="19"/>
  <c r="E137" i="19"/>
  <c r="F137" i="19"/>
  <c r="G137" i="19"/>
  <c r="H137" i="19"/>
  <c r="C137" i="19"/>
  <c r="J124" i="19"/>
  <c r="D92" i="19"/>
  <c r="Q14" i="19" s="1"/>
  <c r="E92" i="19"/>
  <c r="S14" i="19" s="1"/>
  <c r="F92" i="19"/>
  <c r="U14" i="19" s="1"/>
  <c r="G92" i="19"/>
  <c r="W14" i="19" s="1"/>
  <c r="H92" i="19"/>
  <c r="Y14" i="19" s="1"/>
  <c r="C92" i="19"/>
  <c r="O14" i="19" s="1"/>
  <c r="D73" i="19"/>
  <c r="Q12" i="19" s="1"/>
  <c r="E73" i="19"/>
  <c r="S12" i="19" s="1"/>
  <c r="F73" i="19"/>
  <c r="G73" i="19"/>
  <c r="W12" i="19" s="1"/>
  <c r="H73" i="19"/>
  <c r="Y12" i="19" s="1"/>
  <c r="D59" i="19"/>
  <c r="E59" i="19"/>
  <c r="F59" i="19"/>
  <c r="G59" i="19"/>
  <c r="H59" i="19"/>
  <c r="C59" i="19"/>
  <c r="T11" i="19"/>
  <c r="D45" i="19"/>
  <c r="Q11" i="19" s="1"/>
  <c r="E45" i="19"/>
  <c r="S11" i="19" s="1"/>
  <c r="F45" i="19"/>
  <c r="U11" i="19" s="1"/>
  <c r="G45" i="19"/>
  <c r="W11" i="19" s="1"/>
  <c r="H45" i="19"/>
  <c r="Y11" i="19" s="1"/>
  <c r="C45" i="19"/>
  <c r="O11" i="19" s="1"/>
  <c r="D17" i="19"/>
  <c r="Q7" i="19" s="1"/>
  <c r="E17" i="19"/>
  <c r="F17" i="19"/>
  <c r="G17" i="19"/>
  <c r="H17" i="19"/>
  <c r="Y7" i="19" s="1"/>
  <c r="C17" i="19"/>
  <c r="O7" i="19" s="1"/>
  <c r="AA23" i="19"/>
  <c r="AB8" i="19" s="1"/>
  <c r="X8" i="19" s="1"/>
  <c r="C55" i="21" l="1"/>
  <c r="C38" i="21"/>
  <c r="H55" i="21"/>
  <c r="H38" i="21"/>
  <c r="F55" i="21"/>
  <c r="F38" i="21"/>
  <c r="E55" i="21"/>
  <c r="E38" i="21"/>
  <c r="D55" i="21"/>
  <c r="D38" i="21"/>
  <c r="G35" i="21"/>
  <c r="G55" i="21"/>
  <c r="E19" i="21"/>
  <c r="E22" i="21" s="1"/>
  <c r="E128" i="19"/>
  <c r="D19" i="21"/>
  <c r="D22" i="21" s="1"/>
  <c r="D128" i="19"/>
  <c r="C19" i="21"/>
  <c r="C22" i="21" s="1"/>
  <c r="C128" i="19"/>
  <c r="F19" i="21"/>
  <c r="F22" i="21" s="1"/>
  <c r="F128" i="19"/>
  <c r="H19" i="21"/>
  <c r="H22" i="21" s="1"/>
  <c r="H128" i="19"/>
  <c r="G19" i="21"/>
  <c r="G22" i="21" s="1"/>
  <c r="G128" i="19"/>
  <c r="I34" i="21"/>
  <c r="H196" i="19"/>
  <c r="H8" i="20"/>
  <c r="H8" i="21"/>
  <c r="C196" i="19"/>
  <c r="C8" i="20"/>
  <c r="C8" i="21"/>
  <c r="C11" i="20"/>
  <c r="C11" i="21"/>
  <c r="H11" i="20"/>
  <c r="H11" i="21"/>
  <c r="G8" i="21"/>
  <c r="G9" i="21" s="1"/>
  <c r="G8" i="20"/>
  <c r="G196" i="19"/>
  <c r="C37" i="21"/>
  <c r="C41" i="21"/>
  <c r="C36" i="21"/>
  <c r="F196" i="19"/>
  <c r="F8" i="20"/>
  <c r="F8" i="21"/>
  <c r="H37" i="21"/>
  <c r="H41" i="21"/>
  <c r="H36" i="21"/>
  <c r="E8" i="20"/>
  <c r="E196" i="19"/>
  <c r="E8" i="21"/>
  <c r="G37" i="21"/>
  <c r="G41" i="21"/>
  <c r="G36" i="21"/>
  <c r="D196" i="19"/>
  <c r="D8" i="20"/>
  <c r="D8" i="21"/>
  <c r="F37" i="21"/>
  <c r="F41" i="21"/>
  <c r="F36" i="21"/>
  <c r="D11" i="20"/>
  <c r="D11" i="21"/>
  <c r="E37" i="21"/>
  <c r="E41" i="21"/>
  <c r="E36" i="21"/>
  <c r="D37" i="21"/>
  <c r="D41" i="21"/>
  <c r="D36" i="21"/>
  <c r="H21" i="20"/>
  <c r="H28" i="20" s="1"/>
  <c r="F21" i="20"/>
  <c r="F28" i="20" s="1"/>
  <c r="E21" i="20"/>
  <c r="E28" i="20" s="1"/>
  <c r="H155" i="19"/>
  <c r="H19" i="20"/>
  <c r="H26" i="20" s="1"/>
  <c r="D21" i="20"/>
  <c r="D28" i="20" s="1"/>
  <c r="G21" i="20"/>
  <c r="G28" i="20" s="1"/>
  <c r="G155" i="19"/>
  <c r="G19" i="20"/>
  <c r="G26" i="20" s="1"/>
  <c r="F155" i="19"/>
  <c r="F19" i="20"/>
  <c r="F26" i="20" s="1"/>
  <c r="E155" i="19"/>
  <c r="E19" i="20"/>
  <c r="E26" i="20" s="1"/>
  <c r="D155" i="19"/>
  <c r="D19" i="20"/>
  <c r="C155" i="19"/>
  <c r="C19" i="20"/>
  <c r="C21" i="20"/>
  <c r="C28" i="20" s="1"/>
  <c r="H173" i="19"/>
  <c r="H174" i="19"/>
  <c r="E173" i="19"/>
  <c r="E174" i="19"/>
  <c r="D173" i="19"/>
  <c r="D174" i="19"/>
  <c r="F173" i="19"/>
  <c r="F174" i="19"/>
  <c r="G173" i="19"/>
  <c r="G174" i="19"/>
  <c r="H131" i="19"/>
  <c r="G131" i="19"/>
  <c r="F131" i="19"/>
  <c r="E131" i="19"/>
  <c r="D131" i="19"/>
  <c r="K100" i="19"/>
  <c r="Z14" i="19"/>
  <c r="Z11" i="19"/>
  <c r="S20" i="19"/>
  <c r="Z20" i="19" s="1"/>
  <c r="D139" i="19"/>
  <c r="H188" i="19"/>
  <c r="G188" i="19"/>
  <c r="F188" i="19"/>
  <c r="E188" i="19"/>
  <c r="D188" i="19"/>
  <c r="C188" i="19"/>
  <c r="C176" i="19"/>
  <c r="C177" i="19"/>
  <c r="C180" i="19"/>
  <c r="H181" i="19"/>
  <c r="H178" i="19"/>
  <c r="C178" i="19"/>
  <c r="F178" i="19"/>
  <c r="E178" i="19"/>
  <c r="E171" i="19"/>
  <c r="H177" i="19"/>
  <c r="D171" i="19"/>
  <c r="C181" i="19"/>
  <c r="H176" i="19"/>
  <c r="G181" i="19"/>
  <c r="G180" i="19"/>
  <c r="D177" i="19"/>
  <c r="G176" i="19"/>
  <c r="G172" i="19"/>
  <c r="G185" i="19" s="1"/>
  <c r="F176" i="19"/>
  <c r="F172" i="19"/>
  <c r="F185" i="19" s="1"/>
  <c r="D176" i="19"/>
  <c r="D172" i="19"/>
  <c r="D185" i="19" s="1"/>
  <c r="G178" i="19"/>
  <c r="E176" i="19"/>
  <c r="H172" i="19"/>
  <c r="H185" i="19" s="1"/>
  <c r="F181" i="19"/>
  <c r="E181" i="19"/>
  <c r="D181" i="19"/>
  <c r="D178" i="19"/>
  <c r="E172" i="19"/>
  <c r="E185" i="19" s="1"/>
  <c r="H180" i="19"/>
  <c r="G177" i="19"/>
  <c r="H171" i="19"/>
  <c r="F180" i="19"/>
  <c r="F177" i="19"/>
  <c r="G171" i="19"/>
  <c r="E180" i="19"/>
  <c r="E177" i="19"/>
  <c r="C172" i="19"/>
  <c r="C185" i="19" s="1"/>
  <c r="C171" i="19"/>
  <c r="U12" i="19"/>
  <c r="Z12" i="19" s="1"/>
  <c r="AB11" i="19"/>
  <c r="X11" i="19" s="1"/>
  <c r="AB23" i="19"/>
  <c r="AB6" i="19"/>
  <c r="X6" i="19" s="1"/>
  <c r="AB7" i="19"/>
  <c r="X7" i="19" s="1"/>
  <c r="AB22" i="19"/>
  <c r="X22" i="19" s="1"/>
  <c r="AB20" i="19"/>
  <c r="X20" i="19" s="1"/>
  <c r="AB19" i="19"/>
  <c r="X19" i="19" s="1"/>
  <c r="AB18" i="19"/>
  <c r="X18" i="19" s="1"/>
  <c r="AB14" i="19"/>
  <c r="X14" i="19" s="1"/>
  <c r="AB13" i="19"/>
  <c r="X13" i="19" s="1"/>
  <c r="AB12" i="19"/>
  <c r="X12" i="19" s="1"/>
  <c r="AB10" i="19"/>
  <c r="I38" i="21" l="1"/>
  <c r="I19" i="21"/>
  <c r="I128" i="19"/>
  <c r="D186" i="19"/>
  <c r="D53" i="20" s="1"/>
  <c r="I36" i="21"/>
  <c r="J36" i="21" s="1"/>
  <c r="I37" i="21"/>
  <c r="J37" i="21" s="1"/>
  <c r="I41" i="21"/>
  <c r="I22" i="21"/>
  <c r="I8" i="21"/>
  <c r="I8" i="20"/>
  <c r="G133" i="19"/>
  <c r="G134" i="19" s="1"/>
  <c r="G132" i="19"/>
  <c r="D133" i="19"/>
  <c r="D134" i="19" s="1"/>
  <c r="D132" i="19"/>
  <c r="H133" i="19"/>
  <c r="H134" i="19" s="1"/>
  <c r="H132" i="19"/>
  <c r="E133" i="19"/>
  <c r="E134" i="19" s="1"/>
  <c r="E132" i="19"/>
  <c r="F133" i="19"/>
  <c r="F134" i="19" s="1"/>
  <c r="F132" i="19"/>
  <c r="H64" i="21"/>
  <c r="H52" i="20"/>
  <c r="C52" i="20"/>
  <c r="C64" i="21"/>
  <c r="F186" i="19"/>
  <c r="D65" i="21"/>
  <c r="H10" i="20"/>
  <c r="H10" i="21"/>
  <c r="E64" i="21"/>
  <c r="E52" i="20"/>
  <c r="D52" i="20"/>
  <c r="D64" i="21"/>
  <c r="F52" i="20"/>
  <c r="F64" i="21"/>
  <c r="G64" i="21"/>
  <c r="G52" i="20"/>
  <c r="D26" i="20"/>
  <c r="C26" i="20"/>
  <c r="E24" i="20"/>
  <c r="E23" i="20"/>
  <c r="F24" i="20"/>
  <c r="F23" i="20"/>
  <c r="D24" i="20"/>
  <c r="D23" i="20"/>
  <c r="C24" i="20"/>
  <c r="C23" i="20"/>
  <c r="H23" i="20"/>
  <c r="H24" i="20"/>
  <c r="G24" i="20"/>
  <c r="G23" i="20"/>
  <c r="G186" i="19"/>
  <c r="H187" i="19"/>
  <c r="E186" i="19"/>
  <c r="H186" i="19"/>
  <c r="D141" i="19"/>
  <c r="Q19" i="19" s="1"/>
  <c r="Q23" i="19" s="1"/>
  <c r="D140" i="19"/>
  <c r="Z13" i="19"/>
  <c r="H139" i="19"/>
  <c r="G139" i="19"/>
  <c r="F139" i="19"/>
  <c r="E139" i="19"/>
  <c r="C139" i="19"/>
  <c r="V12" i="19"/>
  <c r="R12" i="19"/>
  <c r="Q39" i="19"/>
  <c r="U33" i="19" s="1"/>
  <c r="G187" i="19" l="1"/>
  <c r="D187" i="19"/>
  <c r="D66" i="21" s="1"/>
  <c r="D6" i="21"/>
  <c r="O23" i="16"/>
  <c r="D54" i="20"/>
  <c r="I64" i="21"/>
  <c r="E187" i="19"/>
  <c r="F187" i="19"/>
  <c r="I132" i="19"/>
  <c r="I134" i="19"/>
  <c r="E66" i="21"/>
  <c r="E54" i="20"/>
  <c r="F53" i="20"/>
  <c r="F65" i="21"/>
  <c r="H53" i="20"/>
  <c r="H65" i="21"/>
  <c r="E53" i="20"/>
  <c r="E65" i="21"/>
  <c r="H54" i="20"/>
  <c r="H66" i="21"/>
  <c r="G53" i="20"/>
  <c r="G65" i="21"/>
  <c r="G66" i="21"/>
  <c r="G54" i="20"/>
  <c r="Q21" i="19"/>
  <c r="D6" i="20"/>
  <c r="D25" i="20" s="1"/>
  <c r="G141" i="19"/>
  <c r="W19" i="19" s="1"/>
  <c r="G140" i="19"/>
  <c r="E141" i="19"/>
  <c r="S19" i="19" s="1"/>
  <c r="E140" i="19"/>
  <c r="H141" i="19"/>
  <c r="Y19" i="19" s="1"/>
  <c r="Y23" i="19" s="1"/>
  <c r="H140" i="19"/>
  <c r="F141" i="19"/>
  <c r="U19" i="19" s="1"/>
  <c r="F140" i="19"/>
  <c r="C141" i="19"/>
  <c r="O19" i="19" s="1"/>
  <c r="O23" i="19" s="1"/>
  <c r="C140" i="19"/>
  <c r="U32" i="19"/>
  <c r="U41" i="19"/>
  <c r="U31" i="19"/>
  <c r="U44" i="19"/>
  <c r="U40" i="19"/>
  <c r="U39" i="19"/>
  <c r="U46" i="19" s="1"/>
  <c r="U42" i="19"/>
  <c r="U38" i="19"/>
  <c r="U34" i="19"/>
  <c r="U43" i="19"/>
  <c r="N13" i="19"/>
  <c r="D101" i="19"/>
  <c r="E101" i="19"/>
  <c r="F101" i="19"/>
  <c r="G101" i="19"/>
  <c r="H101" i="19"/>
  <c r="C6" i="21" l="1"/>
  <c r="O26" i="19"/>
  <c r="L23" i="16"/>
  <c r="H6" i="21"/>
  <c r="AA23" i="16"/>
  <c r="I65" i="21"/>
  <c r="F66" i="21"/>
  <c r="I66" i="21" s="1"/>
  <c r="F54" i="20"/>
  <c r="Y21" i="19"/>
  <c r="H6" i="20"/>
  <c r="H25" i="20" s="1"/>
  <c r="O21" i="19"/>
  <c r="C6" i="20"/>
  <c r="C25" i="20" s="1"/>
  <c r="Z19" i="19"/>
  <c r="N23" i="19"/>
  <c r="D93" i="19"/>
  <c r="E93" i="19"/>
  <c r="F93" i="19"/>
  <c r="G93" i="19"/>
  <c r="H93" i="19"/>
  <c r="C93" i="19"/>
  <c r="D68" i="19"/>
  <c r="E68" i="19"/>
  <c r="F68" i="19"/>
  <c r="G68" i="19"/>
  <c r="H68" i="19"/>
  <c r="C68" i="19"/>
  <c r="D69" i="19"/>
  <c r="E69" i="19"/>
  <c r="F69" i="19"/>
  <c r="G69" i="19"/>
  <c r="H69" i="19"/>
  <c r="C69" i="19"/>
  <c r="D70" i="19"/>
  <c r="D86" i="19" s="1"/>
  <c r="E70" i="19"/>
  <c r="E86" i="19" s="1"/>
  <c r="G70" i="19"/>
  <c r="G86" i="19" s="1"/>
  <c r="H70" i="19"/>
  <c r="H86" i="19" s="1"/>
  <c r="C70" i="19"/>
  <c r="C86" i="19" s="1"/>
  <c r="C184" i="19" s="1"/>
  <c r="D67" i="19"/>
  <c r="E67" i="19"/>
  <c r="G67" i="19"/>
  <c r="H67" i="19"/>
  <c r="C67" i="19"/>
  <c r="F44" i="19"/>
  <c r="C50" i="19"/>
  <c r="J57" i="19"/>
  <c r="K52" i="19" s="1"/>
  <c r="M52" i="19" s="1"/>
  <c r="D62" i="19"/>
  <c r="E62" i="19"/>
  <c r="F62" i="19"/>
  <c r="G62" i="19"/>
  <c r="H62" i="19"/>
  <c r="C62" i="19"/>
  <c r="D61" i="19"/>
  <c r="E61" i="19"/>
  <c r="F61" i="19"/>
  <c r="G61" i="19"/>
  <c r="H61" i="19"/>
  <c r="C61" i="19"/>
  <c r="D55" i="19"/>
  <c r="E55" i="19"/>
  <c r="F55" i="19"/>
  <c r="G55" i="19"/>
  <c r="H55" i="19"/>
  <c r="C55" i="19"/>
  <c r="D50" i="19"/>
  <c r="E50" i="19"/>
  <c r="F50" i="19"/>
  <c r="G50" i="19"/>
  <c r="H50" i="19"/>
  <c r="D44" i="19"/>
  <c r="E44" i="19"/>
  <c r="G44" i="19"/>
  <c r="H44" i="19"/>
  <c r="C44" i="19"/>
  <c r="I14" i="19"/>
  <c r="I23" i="19"/>
  <c r="I28" i="19"/>
  <c r="I20" i="19"/>
  <c r="I27" i="19"/>
  <c r="D28" i="19"/>
  <c r="E28" i="19"/>
  <c r="F28" i="19"/>
  <c r="G28" i="19"/>
  <c r="H28" i="19"/>
  <c r="D27" i="19"/>
  <c r="E27" i="19"/>
  <c r="F27" i="19"/>
  <c r="G27" i="19"/>
  <c r="H27" i="19"/>
  <c r="T47" i="9"/>
  <c r="T46" i="9"/>
  <c r="T45" i="9"/>
  <c r="C27" i="19"/>
  <c r="C28" i="19"/>
  <c r="D13" i="19"/>
  <c r="E13" i="19"/>
  <c r="F13" i="19"/>
  <c r="G13" i="19"/>
  <c r="G149" i="19" s="1"/>
  <c r="H13" i="19"/>
  <c r="C13" i="19"/>
  <c r="F35" i="9"/>
  <c r="F29" i="9"/>
  <c r="F30" i="9"/>
  <c r="F31" i="9"/>
  <c r="F32" i="9"/>
  <c r="F33" i="9"/>
  <c r="F34" i="9"/>
  <c r="F28" i="9"/>
  <c r="D35" i="9"/>
  <c r="D29" i="9"/>
  <c r="D30" i="9"/>
  <c r="D31" i="9"/>
  <c r="D32" i="9"/>
  <c r="D33" i="9"/>
  <c r="D34" i="9"/>
  <c r="D28" i="9"/>
  <c r="B35" i="9"/>
  <c r="H22" i="19"/>
  <c r="G22" i="19"/>
  <c r="F22" i="19"/>
  <c r="E22" i="19"/>
  <c r="D22" i="19"/>
  <c r="C22" i="19"/>
  <c r="G16" i="19"/>
  <c r="F16" i="19"/>
  <c r="E16" i="19"/>
  <c r="D16" i="19"/>
  <c r="C16" i="19"/>
  <c r="K39" i="8"/>
  <c r="C197" i="19" l="1"/>
  <c r="L22" i="16"/>
  <c r="N26" i="19"/>
  <c r="C149" i="19"/>
  <c r="C43" i="21" s="1"/>
  <c r="C195" i="19"/>
  <c r="C5" i="21"/>
  <c r="C35" i="21" s="1"/>
  <c r="H5" i="20"/>
  <c r="H57" i="20" s="1"/>
  <c r="H149" i="19"/>
  <c r="H5" i="21"/>
  <c r="C63" i="21"/>
  <c r="C51" i="20"/>
  <c r="F5" i="20"/>
  <c r="F57" i="20" s="1"/>
  <c r="F5" i="21"/>
  <c r="F149" i="19"/>
  <c r="E5" i="20"/>
  <c r="E57" i="20" s="1"/>
  <c r="E149" i="19"/>
  <c r="E5" i="21"/>
  <c r="D5" i="20"/>
  <c r="D57" i="20" s="1"/>
  <c r="D5" i="21"/>
  <c r="D149" i="19"/>
  <c r="G38" i="20"/>
  <c r="G43" i="21"/>
  <c r="G191" i="19"/>
  <c r="C5" i="20"/>
  <c r="C57" i="20" s="1"/>
  <c r="I17" i="19"/>
  <c r="I15" i="19"/>
  <c r="H52" i="19"/>
  <c r="H53" i="19" s="1"/>
  <c r="H195" i="19"/>
  <c r="E87" i="19"/>
  <c r="E88" i="19" s="1"/>
  <c r="E96" i="19" s="1"/>
  <c r="E184" i="19"/>
  <c r="D87" i="19"/>
  <c r="D88" i="19" s="1"/>
  <c r="D96" i="19" s="1"/>
  <c r="D184" i="19"/>
  <c r="E52" i="19"/>
  <c r="E53" i="19" s="1"/>
  <c r="E195" i="19"/>
  <c r="G52" i="19"/>
  <c r="G53" i="19" s="1"/>
  <c r="G195" i="19"/>
  <c r="G87" i="19"/>
  <c r="G88" i="19" s="1"/>
  <c r="G96" i="19" s="1"/>
  <c r="G184" i="19"/>
  <c r="D52" i="19"/>
  <c r="D53" i="19" s="1"/>
  <c r="D195" i="19"/>
  <c r="F52" i="19"/>
  <c r="F53" i="19" s="1"/>
  <c r="F195" i="19"/>
  <c r="H87" i="19"/>
  <c r="H88" i="19" s="1"/>
  <c r="H96" i="19" s="1"/>
  <c r="H184" i="19"/>
  <c r="C87" i="19"/>
  <c r="C88" i="19" s="1"/>
  <c r="C96" i="19" s="1"/>
  <c r="C52" i="19"/>
  <c r="C53" i="19" s="1"/>
  <c r="D74" i="19"/>
  <c r="D76" i="19" s="1"/>
  <c r="D77" i="19" s="1"/>
  <c r="C74" i="19"/>
  <c r="C76" i="19" s="1"/>
  <c r="C77" i="19" s="1"/>
  <c r="H74" i="19"/>
  <c r="H76" i="19" s="1"/>
  <c r="H77" i="19" s="1"/>
  <c r="G74" i="19"/>
  <c r="G76" i="19" s="1"/>
  <c r="G77" i="19" s="1"/>
  <c r="E74" i="19"/>
  <c r="E76" i="19" s="1"/>
  <c r="E77" i="19" s="1"/>
  <c r="F46" i="19"/>
  <c r="D57" i="19"/>
  <c r="D98" i="19" s="1"/>
  <c r="C57" i="19"/>
  <c r="C98" i="19" s="1"/>
  <c r="K55" i="19"/>
  <c r="M55" i="19" s="1"/>
  <c r="K51" i="19"/>
  <c r="M51" i="19" s="1"/>
  <c r="K56" i="19"/>
  <c r="M56" i="19" s="1"/>
  <c r="K54" i="19"/>
  <c r="M54" i="19" s="1"/>
  <c r="C41" i="19"/>
  <c r="H41" i="19"/>
  <c r="G41" i="19"/>
  <c r="F41" i="19"/>
  <c r="E41" i="19"/>
  <c r="D41" i="19"/>
  <c r="I30" i="19"/>
  <c r="I32" i="19" s="1"/>
  <c r="H57" i="19"/>
  <c r="H98" i="19" s="1"/>
  <c r="G57" i="19"/>
  <c r="G98" i="19" s="1"/>
  <c r="F57" i="19"/>
  <c r="F98" i="19" s="1"/>
  <c r="E57" i="19"/>
  <c r="E98" i="19" s="1"/>
  <c r="G23" i="19"/>
  <c r="F23" i="19"/>
  <c r="E23" i="19"/>
  <c r="H23" i="19"/>
  <c r="H30" i="19" s="1"/>
  <c r="C23" i="19"/>
  <c r="C30" i="19" s="1"/>
  <c r="C32" i="19" s="1"/>
  <c r="D23" i="19"/>
  <c r="D24" i="19" s="1"/>
  <c r="D25" i="19" s="1"/>
  <c r="D26" i="19" s="1"/>
  <c r="K27" i="8"/>
  <c r="J22" i="8"/>
  <c r="K22" i="8" s="1"/>
  <c r="X5" i="16"/>
  <c r="W5" i="16"/>
  <c r="U5" i="16"/>
  <c r="V5" i="16"/>
  <c r="T5" i="16"/>
  <c r="W6" i="16"/>
  <c r="Y6" i="16"/>
  <c r="T6" i="16"/>
  <c r="I12" i="18"/>
  <c r="H12" i="18"/>
  <c r="AE54" i="6"/>
  <c r="AE53" i="6"/>
  <c r="H13" i="20" l="1"/>
  <c r="H15" i="20" s="1"/>
  <c r="C57" i="21"/>
  <c r="C45" i="21"/>
  <c r="C46" i="21" s="1"/>
  <c r="H12" i="20"/>
  <c r="H16" i="20" s="1"/>
  <c r="H33" i="20"/>
  <c r="AB23" i="16"/>
  <c r="G57" i="21"/>
  <c r="I53" i="19"/>
  <c r="F9" i="21"/>
  <c r="F35" i="21"/>
  <c r="H9" i="21"/>
  <c r="H35" i="21"/>
  <c r="G45" i="21"/>
  <c r="G46" i="21" s="1"/>
  <c r="G48" i="21" s="1"/>
  <c r="G49" i="21" s="1"/>
  <c r="Z27" i="16" s="1"/>
  <c r="D9" i="21"/>
  <c r="D35" i="21"/>
  <c r="E9" i="21"/>
  <c r="E35" i="21"/>
  <c r="G41" i="20"/>
  <c r="G42" i="20" s="1"/>
  <c r="G44" i="20" s="1"/>
  <c r="H17" i="22" s="1"/>
  <c r="G39" i="20"/>
  <c r="I5" i="21"/>
  <c r="C9" i="21"/>
  <c r="E12" i="20"/>
  <c r="E16" i="20" s="1"/>
  <c r="F12" i="20"/>
  <c r="D13" i="20"/>
  <c r="D15" i="20" s="1"/>
  <c r="D12" i="20"/>
  <c r="D16" i="20" s="1"/>
  <c r="F20" i="20"/>
  <c r="F27" i="20" s="1"/>
  <c r="F20" i="21"/>
  <c r="F23" i="21" s="1"/>
  <c r="F13" i="21"/>
  <c r="F12" i="21"/>
  <c r="F69" i="21"/>
  <c r="F38" i="20"/>
  <c r="F43" i="21"/>
  <c r="F191" i="19"/>
  <c r="H20" i="20"/>
  <c r="H27" i="20" s="1"/>
  <c r="H20" i="21"/>
  <c r="H23" i="21" s="1"/>
  <c r="E63" i="21"/>
  <c r="E51" i="20"/>
  <c r="G51" i="20"/>
  <c r="G63" i="21"/>
  <c r="H13" i="21"/>
  <c r="H12" i="21"/>
  <c r="H16" i="21" s="1"/>
  <c r="H69" i="21"/>
  <c r="F13" i="20"/>
  <c r="D191" i="19"/>
  <c r="D43" i="21"/>
  <c r="D38" i="20"/>
  <c r="H38" i="20"/>
  <c r="H191" i="19"/>
  <c r="H43" i="21"/>
  <c r="G20" i="20"/>
  <c r="G27" i="20" s="1"/>
  <c r="G20" i="21"/>
  <c r="G23" i="21" s="1"/>
  <c r="D13" i="21"/>
  <c r="D12" i="21"/>
  <c r="D16" i="21" s="1"/>
  <c r="D69" i="21"/>
  <c r="C20" i="20"/>
  <c r="C27" i="20" s="1"/>
  <c r="C20" i="21"/>
  <c r="C12" i="21"/>
  <c r="C69" i="21"/>
  <c r="C13" i="21"/>
  <c r="C15" i="21" s="1"/>
  <c r="E20" i="20"/>
  <c r="E27" i="20" s="1"/>
  <c r="E20" i="21"/>
  <c r="E23" i="21" s="1"/>
  <c r="E69" i="21"/>
  <c r="E12" i="21"/>
  <c r="E16" i="21" s="1"/>
  <c r="E13" i="21"/>
  <c r="D20" i="20"/>
  <c r="D27" i="20" s="1"/>
  <c r="D20" i="21"/>
  <c r="D23" i="21" s="1"/>
  <c r="H51" i="20"/>
  <c r="H63" i="21"/>
  <c r="D63" i="21"/>
  <c r="D51" i="20"/>
  <c r="E13" i="20"/>
  <c r="E43" i="21"/>
  <c r="E191" i="19"/>
  <c r="E38" i="20"/>
  <c r="C38" i="20"/>
  <c r="C39" i="20" s="1"/>
  <c r="C191" i="19"/>
  <c r="C13" i="20"/>
  <c r="C15" i="20" s="1"/>
  <c r="C12" i="20"/>
  <c r="C16" i="20" s="1"/>
  <c r="E103" i="19"/>
  <c r="F103" i="19"/>
  <c r="G103" i="19"/>
  <c r="H103" i="19"/>
  <c r="C103" i="19"/>
  <c r="C104" i="19" s="1"/>
  <c r="D103" i="19"/>
  <c r="H102" i="19"/>
  <c r="H106" i="19" s="1"/>
  <c r="C102" i="19"/>
  <c r="C106" i="19" s="1"/>
  <c r="E102" i="19"/>
  <c r="E106" i="19" s="1"/>
  <c r="D102" i="19"/>
  <c r="D106" i="19" s="1"/>
  <c r="F102" i="19"/>
  <c r="F106" i="19" s="1"/>
  <c r="G102" i="19"/>
  <c r="G106" i="19" s="1"/>
  <c r="F100" i="19"/>
  <c r="E100" i="19"/>
  <c r="G100" i="19"/>
  <c r="H100" i="19"/>
  <c r="C100" i="19"/>
  <c r="D100" i="19"/>
  <c r="E154" i="19"/>
  <c r="E156" i="19" s="1"/>
  <c r="E167" i="19" s="1"/>
  <c r="E243" i="19" s="1"/>
  <c r="E189" i="19"/>
  <c r="G154" i="19"/>
  <c r="G156" i="19" s="1"/>
  <c r="G167" i="19" s="1"/>
  <c r="G243" i="19" s="1"/>
  <c r="G189" i="19"/>
  <c r="F154" i="19"/>
  <c r="F156" i="19" s="1"/>
  <c r="F167" i="19" s="1"/>
  <c r="F243" i="19" s="1"/>
  <c r="F189" i="19"/>
  <c r="D154" i="19"/>
  <c r="D156" i="19" s="1"/>
  <c r="D167" i="19" s="1"/>
  <c r="D243" i="19" s="1"/>
  <c r="D189" i="19"/>
  <c r="H154" i="19"/>
  <c r="H156" i="19" s="1"/>
  <c r="H167" i="19" s="1"/>
  <c r="H243" i="19" s="1"/>
  <c r="H189" i="19"/>
  <c r="C154" i="19"/>
  <c r="C189" i="19"/>
  <c r="G24" i="19"/>
  <c r="G25" i="19" s="1"/>
  <c r="G26" i="19" s="1"/>
  <c r="W7" i="19"/>
  <c r="E24" i="19"/>
  <c r="E25" i="19" s="1"/>
  <c r="E26" i="19" s="1"/>
  <c r="S7" i="19"/>
  <c r="F24" i="19"/>
  <c r="F25" i="19" s="1"/>
  <c r="F26" i="19" s="1"/>
  <c r="U7" i="19"/>
  <c r="F67" i="19"/>
  <c r="F70" i="19"/>
  <c r="F86" i="19" s="1"/>
  <c r="M57" i="19"/>
  <c r="C64" i="19" s="1"/>
  <c r="C65" i="19" s="1"/>
  <c r="E30" i="19"/>
  <c r="E32" i="19" s="1"/>
  <c r="F30" i="19"/>
  <c r="F32" i="19" s="1"/>
  <c r="G30" i="19"/>
  <c r="G32" i="19" s="1"/>
  <c r="D30" i="19"/>
  <c r="D32" i="19" s="1"/>
  <c r="H24" i="19"/>
  <c r="H25" i="19" s="1"/>
  <c r="H26" i="19" s="1"/>
  <c r="H32" i="19"/>
  <c r="C24" i="19"/>
  <c r="C25" i="19" s="1"/>
  <c r="C26" i="19" s="1"/>
  <c r="Y5" i="16"/>
  <c r="C60" i="21" l="1"/>
  <c r="C59" i="21"/>
  <c r="C58" i="21"/>
  <c r="D33" i="20"/>
  <c r="P23" i="16"/>
  <c r="C33" i="20"/>
  <c r="M23" i="16"/>
  <c r="N23" i="16"/>
  <c r="C28" i="21"/>
  <c r="G60" i="21"/>
  <c r="G59" i="21"/>
  <c r="G58" i="21"/>
  <c r="H57" i="21"/>
  <c r="D57" i="21"/>
  <c r="E57" i="21"/>
  <c r="F57" i="21"/>
  <c r="I35" i="21"/>
  <c r="H15" i="21"/>
  <c r="AC23" i="16" s="1"/>
  <c r="D15" i="21"/>
  <c r="Q23" i="16" s="1"/>
  <c r="G45" i="20"/>
  <c r="Y27" i="16"/>
  <c r="H45" i="21"/>
  <c r="H46" i="21" s="1"/>
  <c r="H48" i="21" s="1"/>
  <c r="H49" i="21" s="1"/>
  <c r="I9" i="21"/>
  <c r="E45" i="21"/>
  <c r="E46" i="21" s="1"/>
  <c r="E48" i="21" s="1"/>
  <c r="E49" i="21" s="1"/>
  <c r="F45" i="21"/>
  <c r="F46" i="21" s="1"/>
  <c r="F48" i="21" s="1"/>
  <c r="F49" i="21" s="1"/>
  <c r="D45" i="21"/>
  <c r="D46" i="21" s="1"/>
  <c r="D48" i="21" s="1"/>
  <c r="D49" i="21" s="1"/>
  <c r="G50" i="21"/>
  <c r="Z22" i="16" s="1"/>
  <c r="H41" i="20"/>
  <c r="H42" i="20" s="1"/>
  <c r="H44" i="20" s="1"/>
  <c r="H39" i="20"/>
  <c r="E41" i="20"/>
  <c r="E42" i="20" s="1"/>
  <c r="E44" i="20" s="1"/>
  <c r="E39" i="20"/>
  <c r="F41" i="20"/>
  <c r="F39" i="20"/>
  <c r="D41" i="20"/>
  <c r="D42" i="20" s="1"/>
  <c r="D44" i="20" s="1"/>
  <c r="H14" i="22" s="1"/>
  <c r="D39" i="20"/>
  <c r="I13" i="21"/>
  <c r="H26" i="21"/>
  <c r="H27" i="21" s="1"/>
  <c r="H24" i="21"/>
  <c r="C48" i="21"/>
  <c r="C49" i="21" s="1"/>
  <c r="N27" i="16" s="1"/>
  <c r="I43" i="21"/>
  <c r="I69" i="21"/>
  <c r="E26" i="21"/>
  <c r="E27" i="21" s="1"/>
  <c r="E24" i="21"/>
  <c r="G26" i="21"/>
  <c r="G27" i="21" s="1"/>
  <c r="G24" i="21"/>
  <c r="C16" i="21"/>
  <c r="I12" i="21"/>
  <c r="D26" i="21"/>
  <c r="D27" i="21" s="1"/>
  <c r="D24" i="21"/>
  <c r="F26" i="21"/>
  <c r="F27" i="21" s="1"/>
  <c r="F24" i="21"/>
  <c r="C23" i="21"/>
  <c r="I20" i="21"/>
  <c r="C41" i="20"/>
  <c r="I38" i="20"/>
  <c r="H30" i="20"/>
  <c r="D31" i="20"/>
  <c r="D32" i="20" s="1"/>
  <c r="D35" i="20" s="1"/>
  <c r="G14" i="22" s="1"/>
  <c r="F31" i="20"/>
  <c r="F32" i="20" s="1"/>
  <c r="G31" i="20"/>
  <c r="G32" i="20" s="1"/>
  <c r="C31" i="20"/>
  <c r="C30" i="20" s="1"/>
  <c r="E31" i="20"/>
  <c r="E32" i="20" s="1"/>
  <c r="H31" i="20"/>
  <c r="H32" i="20" s="1"/>
  <c r="H35" i="20" s="1"/>
  <c r="G18" i="22" s="1"/>
  <c r="G11" i="20"/>
  <c r="G11" i="21"/>
  <c r="E11" i="20"/>
  <c r="E11" i="21"/>
  <c r="F11" i="20"/>
  <c r="F11" i="21"/>
  <c r="D64" i="19"/>
  <c r="D65" i="19" s="1"/>
  <c r="C108" i="19"/>
  <c r="C118" i="19" s="1"/>
  <c r="C156" i="19"/>
  <c r="C237" i="19" s="1"/>
  <c r="C107" i="19"/>
  <c r="D104" i="19"/>
  <c r="H104" i="19"/>
  <c r="G104" i="19"/>
  <c r="E104" i="19"/>
  <c r="E108" i="19" s="1"/>
  <c r="F104" i="19"/>
  <c r="U23" i="19"/>
  <c r="S23" i="19"/>
  <c r="Z7" i="19"/>
  <c r="Z23" i="19" s="1"/>
  <c r="Z21" i="19" s="1"/>
  <c r="W23" i="19"/>
  <c r="F87" i="19"/>
  <c r="F88" i="19" s="1"/>
  <c r="F184" i="19"/>
  <c r="E64" i="19"/>
  <c r="E65" i="19" s="1"/>
  <c r="F64" i="19"/>
  <c r="F65" i="19" s="1"/>
  <c r="H64" i="19"/>
  <c r="H65" i="19" s="1"/>
  <c r="G64" i="19"/>
  <c r="G65" i="19" s="1"/>
  <c r="F74" i="19"/>
  <c r="F76" i="19" s="1"/>
  <c r="F77" i="19" s="1"/>
  <c r="AA48" i="6"/>
  <c r="AB52" i="6"/>
  <c r="AH34" i="6"/>
  <c r="AJ31" i="6"/>
  <c r="AL9" i="6"/>
  <c r="AD21" i="6"/>
  <c r="AE11" i="6"/>
  <c r="AD20" i="14"/>
  <c r="AE45" i="14"/>
  <c r="AE11" i="14"/>
  <c r="AB46" i="14"/>
  <c r="Z47" i="14"/>
  <c r="Y49" i="14" s="1"/>
  <c r="AA46" i="14"/>
  <c r="X44" i="14"/>
  <c r="Z38" i="14"/>
  <c r="AB30" i="14"/>
  <c r="AG36" i="9"/>
  <c r="AG34" i="9"/>
  <c r="AG31" i="9"/>
  <c r="AC71" i="9"/>
  <c r="AD71" i="9"/>
  <c r="AE71" i="9"/>
  <c r="AF71" i="9"/>
  <c r="AC73" i="9"/>
  <c r="AD73" i="9"/>
  <c r="AE73" i="9"/>
  <c r="AF73" i="9"/>
  <c r="AC74" i="9"/>
  <c r="AC76" i="9" s="1"/>
  <c r="AC77" i="9" s="1"/>
  <c r="AC78" i="9" s="1"/>
  <c r="AC80" i="9" s="1"/>
  <c r="AD74" i="9"/>
  <c r="AD76" i="9" s="1"/>
  <c r="AD77" i="9" s="1"/>
  <c r="AD78" i="9" s="1"/>
  <c r="AD80" i="9" s="1"/>
  <c r="AE74" i="9"/>
  <c r="AE76" i="9" s="1"/>
  <c r="AE77" i="9" s="1"/>
  <c r="AE78" i="9" s="1"/>
  <c r="AE80" i="9" s="1"/>
  <c r="AF74" i="9"/>
  <c r="AC75" i="9"/>
  <c r="AD75" i="9"/>
  <c r="AE75" i="9"/>
  <c r="AF75" i="9"/>
  <c r="AF76" i="9"/>
  <c r="AF77" i="9" s="1"/>
  <c r="AF78" i="9" s="1"/>
  <c r="AF80" i="9" s="1"/>
  <c r="AG33" i="9"/>
  <c r="AG49" i="9"/>
  <c r="AG51" i="9"/>
  <c r="AG52" i="9"/>
  <c r="AG53" i="9"/>
  <c r="AA51" i="9"/>
  <c r="AA43" i="9"/>
  <c r="AA49" i="9"/>
  <c r="AB41" i="9"/>
  <c r="AB51" i="9" s="1"/>
  <c r="AC41" i="9"/>
  <c r="AD41" i="9"/>
  <c r="AE41" i="9"/>
  <c r="AF41" i="9"/>
  <c r="AB43" i="9"/>
  <c r="AB53" i="9" s="1"/>
  <c r="AC43" i="9"/>
  <c r="AC53" i="9" s="1"/>
  <c r="AD43" i="9"/>
  <c r="AE43" i="9"/>
  <c r="AF43" i="9"/>
  <c r="AB49" i="9"/>
  <c r="AC49" i="9"/>
  <c r="AD49" i="9"/>
  <c r="AE49" i="9"/>
  <c r="AF49" i="9"/>
  <c r="AC51" i="9"/>
  <c r="AD51" i="9"/>
  <c r="AE51" i="9"/>
  <c r="AF51" i="9"/>
  <c r="AD53" i="9"/>
  <c r="AE53" i="9"/>
  <c r="AF53" i="9"/>
  <c r="AA53" i="9"/>
  <c r="AA41" i="9"/>
  <c r="Y30" i="9"/>
  <c r="Y31" i="9"/>
  <c r="Z31" i="9"/>
  <c r="AA31" i="9"/>
  <c r="AB31" i="9"/>
  <c r="AC31" i="9"/>
  <c r="AD31" i="9"/>
  <c r="AE31" i="9"/>
  <c r="AF31" i="9"/>
  <c r="Y32" i="9"/>
  <c r="Z32" i="9"/>
  <c r="Y33" i="9"/>
  <c r="Z33" i="9"/>
  <c r="Y34" i="9"/>
  <c r="Z34" i="9"/>
  <c r="AA34" i="9"/>
  <c r="AB34" i="9"/>
  <c r="AC34" i="9"/>
  <c r="AD34" i="9"/>
  <c r="AE34" i="9"/>
  <c r="AF34" i="9"/>
  <c r="Y35" i="9"/>
  <c r="Z35" i="9"/>
  <c r="Y36" i="9"/>
  <c r="Z36" i="9"/>
  <c r="Y37" i="9"/>
  <c r="Z37" i="9"/>
  <c r="Y38" i="9"/>
  <c r="Z38" i="9"/>
  <c r="T70" i="9"/>
  <c r="T69" i="9"/>
  <c r="T68" i="9"/>
  <c r="T66" i="9"/>
  <c r="D12" i="17"/>
  <c r="AB32" i="9" s="1"/>
  <c r="AB42" i="9" s="1"/>
  <c r="AB52" i="9" s="1"/>
  <c r="AB54" i="9" s="1"/>
  <c r="E12" i="17"/>
  <c r="AC32" i="9" s="1"/>
  <c r="AC42" i="9" s="1"/>
  <c r="AC52" i="9" s="1"/>
  <c r="F12" i="17"/>
  <c r="AD32" i="9" s="1"/>
  <c r="AD42" i="9" s="1"/>
  <c r="AD52" i="9" s="1"/>
  <c r="G12" i="17"/>
  <c r="AE32" i="9" s="1"/>
  <c r="AE42" i="9" s="1"/>
  <c r="AE52" i="9" s="1"/>
  <c r="H12" i="17"/>
  <c r="AF32" i="9" s="1"/>
  <c r="AF42" i="9" s="1"/>
  <c r="AF52" i="9" s="1"/>
  <c r="C12" i="17"/>
  <c r="AA32" i="9" s="1"/>
  <c r="AA42" i="9" s="1"/>
  <c r="AA52" i="9" s="1"/>
  <c r="AA54" i="9" s="1"/>
  <c r="R44" i="9"/>
  <c r="Q44" i="9"/>
  <c r="R43" i="9"/>
  <c r="Q43" i="9"/>
  <c r="C36" i="9"/>
  <c r="D15" i="17"/>
  <c r="E15" i="17"/>
  <c r="F15" i="17"/>
  <c r="G15" i="17"/>
  <c r="H15" i="17"/>
  <c r="C15" i="17"/>
  <c r="E45" i="20" l="1"/>
  <c r="S27" i="16" s="1"/>
  <c r="H15" i="22"/>
  <c r="H45" i="20"/>
  <c r="AB27" i="16" s="1"/>
  <c r="H18" i="22"/>
  <c r="C62" i="21"/>
  <c r="D56" i="20"/>
  <c r="I39" i="20"/>
  <c r="F6" i="21"/>
  <c r="U23" i="16"/>
  <c r="E30" i="20"/>
  <c r="E6" i="21"/>
  <c r="R23" i="16"/>
  <c r="C61" i="21"/>
  <c r="F30" i="20"/>
  <c r="D45" i="20"/>
  <c r="P27" i="16"/>
  <c r="F42" i="20"/>
  <c r="F44" i="20" s="1"/>
  <c r="H16" i="22" s="1"/>
  <c r="T26" i="16"/>
  <c r="G30" i="20"/>
  <c r="G62" i="21"/>
  <c r="G61" i="21" s="1"/>
  <c r="F60" i="21"/>
  <c r="F59" i="21"/>
  <c r="F58" i="21"/>
  <c r="E60" i="21"/>
  <c r="E59" i="21"/>
  <c r="E58" i="21"/>
  <c r="D60" i="21"/>
  <c r="D59" i="21"/>
  <c r="D58" i="21"/>
  <c r="H60" i="21"/>
  <c r="H58" i="21"/>
  <c r="H59" i="21"/>
  <c r="W27" i="16"/>
  <c r="F50" i="21"/>
  <c r="W22" i="16" s="1"/>
  <c r="E15" i="21"/>
  <c r="T23" i="16" s="1"/>
  <c r="E50" i="21"/>
  <c r="T22" i="16" s="1"/>
  <c r="T27" i="16"/>
  <c r="F15" i="21"/>
  <c r="W23" i="16" s="1"/>
  <c r="D50" i="21"/>
  <c r="Q22" i="16" s="1"/>
  <c r="Q27" i="16"/>
  <c r="D28" i="21"/>
  <c r="D29" i="21" s="1"/>
  <c r="E30" i="21"/>
  <c r="E31" i="21" s="1"/>
  <c r="E51" i="21" s="1"/>
  <c r="E52" i="21" s="1"/>
  <c r="H30" i="21"/>
  <c r="H31" i="21" s="1"/>
  <c r="H50" i="21"/>
  <c r="AC22" i="16" s="1"/>
  <c r="AC27" i="16"/>
  <c r="H28" i="21"/>
  <c r="H68" i="21" s="1"/>
  <c r="G6" i="21"/>
  <c r="G15" i="21" s="1"/>
  <c r="Z23" i="16" s="1"/>
  <c r="X23" i="16"/>
  <c r="D30" i="21"/>
  <c r="I45" i="21"/>
  <c r="F30" i="21"/>
  <c r="I11" i="21"/>
  <c r="C26" i="21"/>
  <c r="I23" i="21"/>
  <c r="C24" i="21"/>
  <c r="G30" i="21"/>
  <c r="D36" i="20"/>
  <c r="H36" i="20"/>
  <c r="C42" i="20"/>
  <c r="C44" i="20" s="1"/>
  <c r="H13" i="22" s="1"/>
  <c r="I41" i="20"/>
  <c r="D30" i="20"/>
  <c r="C32" i="20"/>
  <c r="I31" i="20"/>
  <c r="H56" i="20"/>
  <c r="F63" i="21"/>
  <c r="I63" i="21" s="1"/>
  <c r="F51" i="20"/>
  <c r="W21" i="19"/>
  <c r="G6" i="20"/>
  <c r="U21" i="19"/>
  <c r="F6" i="20"/>
  <c r="S21" i="19"/>
  <c r="E6" i="20"/>
  <c r="C167" i="19"/>
  <c r="C243" i="19" s="1"/>
  <c r="C16" i="17"/>
  <c r="AA36" i="9" s="1"/>
  <c r="F96" i="19"/>
  <c r="F107" i="19"/>
  <c r="F108" i="19"/>
  <c r="G107" i="19"/>
  <c r="G108" i="19"/>
  <c r="H105" i="19"/>
  <c r="I105" i="19" s="1"/>
  <c r="E116" i="19" s="1"/>
  <c r="H108" i="19"/>
  <c r="D107" i="19"/>
  <c r="D108" i="19"/>
  <c r="D105" i="19"/>
  <c r="G105" i="19"/>
  <c r="F105" i="19"/>
  <c r="E105" i="19"/>
  <c r="E107" i="19"/>
  <c r="C105" i="19"/>
  <c r="I106" i="19"/>
  <c r="H107" i="19"/>
  <c r="Y48" i="14"/>
  <c r="AG54" i="9"/>
  <c r="AG55" i="9" s="1"/>
  <c r="AG56" i="9" s="1"/>
  <c r="AG58" i="9" s="1"/>
  <c r="T71" i="9"/>
  <c r="T72" i="9" s="1"/>
  <c r="T73" i="9" s="1"/>
  <c r="T75" i="9" s="1"/>
  <c r="AE54" i="9"/>
  <c r="AE55" i="9" s="1"/>
  <c r="AE56" i="9" s="1"/>
  <c r="AE58" i="9" s="1"/>
  <c r="AD54" i="9"/>
  <c r="AD55" i="9" s="1"/>
  <c r="AD56" i="9" s="1"/>
  <c r="AD58" i="9" s="1"/>
  <c r="AB55" i="9"/>
  <c r="AB56" i="9" s="1"/>
  <c r="AB58" i="9" s="1"/>
  <c r="AF54" i="9"/>
  <c r="AF55" i="9" s="1"/>
  <c r="AF56" i="9" s="1"/>
  <c r="AF58" i="9" s="1"/>
  <c r="AC54" i="9"/>
  <c r="AC55" i="9" s="1"/>
  <c r="AC56" i="9" s="1"/>
  <c r="AC58" i="9" s="1"/>
  <c r="AA55" i="9"/>
  <c r="AA56" i="9" s="1"/>
  <c r="AA58" i="9" s="1"/>
  <c r="C18" i="17"/>
  <c r="AA38" i="9" s="1"/>
  <c r="H16" i="17"/>
  <c r="G16" i="17"/>
  <c r="F16" i="17"/>
  <c r="E16" i="17"/>
  <c r="D16" i="17"/>
  <c r="C17" i="17"/>
  <c r="I30" i="20" l="1"/>
  <c r="I60" i="21"/>
  <c r="L60" i="21" s="1"/>
  <c r="M60" i="21" s="1"/>
  <c r="T29" i="16"/>
  <c r="AK24" i="16" s="1"/>
  <c r="E54" i="21"/>
  <c r="I44" i="20"/>
  <c r="H62" i="21"/>
  <c r="H61" i="21" s="1"/>
  <c r="I6" i="21"/>
  <c r="D62" i="21"/>
  <c r="E62" i="21"/>
  <c r="E61" i="21" s="1"/>
  <c r="H39" i="21"/>
  <c r="D39" i="21"/>
  <c r="D47" i="20"/>
  <c r="P26" i="16"/>
  <c r="D37" i="20"/>
  <c r="P22" i="16" s="1"/>
  <c r="F45" i="20"/>
  <c r="V27" i="16"/>
  <c r="H47" i="20"/>
  <c r="H48" i="20" s="1"/>
  <c r="AB26" i="16"/>
  <c r="F62" i="21"/>
  <c r="D61" i="21"/>
  <c r="E28" i="21"/>
  <c r="E29" i="21" s="1"/>
  <c r="D68" i="21"/>
  <c r="H29" i="21"/>
  <c r="F28" i="21"/>
  <c r="F39" i="21" s="1"/>
  <c r="H51" i="21"/>
  <c r="H52" i="21" s="1"/>
  <c r="AC26" i="16"/>
  <c r="G28" i="21"/>
  <c r="G39" i="21" s="1"/>
  <c r="E32" i="21"/>
  <c r="H32" i="21"/>
  <c r="H37" i="20"/>
  <c r="AB22" i="16" s="1"/>
  <c r="H59" i="20"/>
  <c r="AB30" i="16" s="1"/>
  <c r="AP23" i="16" s="1"/>
  <c r="C27" i="21"/>
  <c r="I26" i="21"/>
  <c r="J26" i="21" s="1"/>
  <c r="I46" i="21"/>
  <c r="G31" i="21"/>
  <c r="I15" i="21"/>
  <c r="D31" i="21"/>
  <c r="I24" i="21"/>
  <c r="J24" i="21" s="1"/>
  <c r="C25" i="21"/>
  <c r="I25" i="21" s="1"/>
  <c r="F15" i="20"/>
  <c r="F25" i="20"/>
  <c r="G15" i="20"/>
  <c r="G25" i="20"/>
  <c r="E15" i="20"/>
  <c r="S23" i="16" s="1"/>
  <c r="E25" i="20"/>
  <c r="C35" i="20"/>
  <c r="G13" i="22" s="1"/>
  <c r="C56" i="20"/>
  <c r="I32" i="20"/>
  <c r="C45" i="20"/>
  <c r="M27" i="16" s="1"/>
  <c r="G17" i="17"/>
  <c r="AE37" i="9" s="1"/>
  <c r="AE36" i="9"/>
  <c r="D17" i="17"/>
  <c r="AB37" i="9" s="1"/>
  <c r="AB36" i="9"/>
  <c r="F17" i="17"/>
  <c r="AD37" i="9" s="1"/>
  <c r="AD36" i="9"/>
  <c r="E17" i="17"/>
  <c r="AC37" i="9" s="1"/>
  <c r="AC36" i="9"/>
  <c r="H17" i="17"/>
  <c r="AF37" i="9" s="1"/>
  <c r="AF36" i="9"/>
  <c r="H116" i="19"/>
  <c r="C116" i="19"/>
  <c r="C119" i="19" s="1"/>
  <c r="C120" i="19" s="1"/>
  <c r="C121" i="19" s="1"/>
  <c r="G116" i="19"/>
  <c r="D116" i="19"/>
  <c r="F116" i="19"/>
  <c r="F118" i="19"/>
  <c r="G118" i="19"/>
  <c r="E118" i="19"/>
  <c r="D118" i="19"/>
  <c r="H118" i="19"/>
  <c r="D18" i="17"/>
  <c r="AB38" i="9" s="1"/>
  <c r="E18" i="17"/>
  <c r="AC38" i="9" s="1"/>
  <c r="F18" i="17"/>
  <c r="AD38" i="9" s="1"/>
  <c r="G18" i="17"/>
  <c r="AE38" i="9" s="1"/>
  <c r="H18" i="17"/>
  <c r="AF38" i="9" s="1"/>
  <c r="I62" i="21" l="1"/>
  <c r="I25" i="20"/>
  <c r="AC29" i="16"/>
  <c r="AQ24" i="16" s="1"/>
  <c r="H54" i="21"/>
  <c r="AB29" i="16"/>
  <c r="AQ23" i="16" s="1"/>
  <c r="H50" i="20"/>
  <c r="E68" i="21"/>
  <c r="E71" i="21" s="1"/>
  <c r="E39" i="21"/>
  <c r="F61" i="21"/>
  <c r="I61" i="21" s="1"/>
  <c r="F33" i="20"/>
  <c r="V23" i="16"/>
  <c r="D48" i="20"/>
  <c r="D59" i="20"/>
  <c r="P30" i="16" s="1"/>
  <c r="AH23" i="16" s="1"/>
  <c r="C29" i="21"/>
  <c r="C39" i="21"/>
  <c r="I28" i="21"/>
  <c r="H71" i="21"/>
  <c r="D51" i="21"/>
  <c r="D52" i="21" s="1"/>
  <c r="Q26" i="16"/>
  <c r="F68" i="21"/>
  <c r="F29" i="21"/>
  <c r="G51" i="21"/>
  <c r="G52" i="21" s="1"/>
  <c r="Z26" i="16"/>
  <c r="G68" i="21"/>
  <c r="G29" i="21"/>
  <c r="G33" i="20"/>
  <c r="Y23" i="16"/>
  <c r="G32" i="21"/>
  <c r="D32" i="21"/>
  <c r="I49" i="21"/>
  <c r="I48" i="21"/>
  <c r="C50" i="21"/>
  <c r="I27" i="21"/>
  <c r="K27" i="21" s="1"/>
  <c r="C30" i="21"/>
  <c r="C68" i="21"/>
  <c r="I45" i="20"/>
  <c r="C36" i="20"/>
  <c r="M26" i="16" s="1"/>
  <c r="E33" i="20"/>
  <c r="I15" i="20"/>
  <c r="G119" i="19"/>
  <c r="G120" i="19" s="1"/>
  <c r="G121" i="19" s="1"/>
  <c r="H119" i="19"/>
  <c r="H120" i="19" s="1"/>
  <c r="H121" i="19" s="1"/>
  <c r="F119" i="19"/>
  <c r="F120" i="19" s="1"/>
  <c r="F121" i="19" s="1"/>
  <c r="D119" i="19"/>
  <c r="D120" i="19" s="1"/>
  <c r="D121" i="19" s="1"/>
  <c r="E119" i="19"/>
  <c r="E120" i="19" s="1"/>
  <c r="E121" i="19" s="1"/>
  <c r="BN34" i="15"/>
  <c r="E49" i="16"/>
  <c r="F49" i="16"/>
  <c r="G49" i="16"/>
  <c r="H49" i="16"/>
  <c r="I49" i="16"/>
  <c r="D49" i="16"/>
  <c r="BN31" i="15"/>
  <c r="E40" i="16"/>
  <c r="F40" i="16"/>
  <c r="G40" i="16"/>
  <c r="H40" i="16"/>
  <c r="I40" i="16"/>
  <c r="D40" i="16"/>
  <c r="BN30" i="15"/>
  <c r="BN26" i="15"/>
  <c r="H30" i="16"/>
  <c r="G30" i="16"/>
  <c r="E30" i="16"/>
  <c r="D30" i="16"/>
  <c r="BN25" i="15"/>
  <c r="BN23" i="15"/>
  <c r="BN28" i="15"/>
  <c r="G71" i="21" l="1"/>
  <c r="P29" i="16"/>
  <c r="AI23" i="16" s="1"/>
  <c r="D50" i="20"/>
  <c r="Z29" i="16"/>
  <c r="AO24" i="16" s="1"/>
  <c r="G54" i="21"/>
  <c r="Q29" i="16"/>
  <c r="AI24" i="16" s="1"/>
  <c r="D54" i="21"/>
  <c r="C40" i="21"/>
  <c r="I39" i="21"/>
  <c r="Z30" i="16"/>
  <c r="AN24" i="16" s="1"/>
  <c r="AC30" i="16"/>
  <c r="AP24" i="16" s="1"/>
  <c r="T30" i="16"/>
  <c r="AJ24" i="16" s="1"/>
  <c r="C37" i="20"/>
  <c r="M22" i="16" s="1"/>
  <c r="M19" i="16" s="1"/>
  <c r="F35" i="20"/>
  <c r="G16" i="22" s="1"/>
  <c r="F56" i="20"/>
  <c r="D71" i="21"/>
  <c r="I29" i="21"/>
  <c r="I68" i="21"/>
  <c r="G56" i="20"/>
  <c r="G35" i="20"/>
  <c r="G17" i="22" s="1"/>
  <c r="I50" i="21"/>
  <c r="N22" i="16"/>
  <c r="C31" i="21"/>
  <c r="I30" i="21"/>
  <c r="J30" i="21" s="1"/>
  <c r="J31" i="21" s="1"/>
  <c r="I33" i="20"/>
  <c r="E35" i="20"/>
  <c r="G15" i="22" s="1"/>
  <c r="E56" i="20"/>
  <c r="C47" i="20"/>
  <c r="BN20" i="15"/>
  <c r="BO20" i="15" s="1"/>
  <c r="I25" i="16"/>
  <c r="H25" i="16"/>
  <c r="G25" i="16"/>
  <c r="F25" i="16"/>
  <c r="E25" i="16"/>
  <c r="BN17" i="15"/>
  <c r="BM15" i="15"/>
  <c r="G70" i="16"/>
  <c r="F70" i="16"/>
  <c r="E70" i="16"/>
  <c r="D70" i="16"/>
  <c r="G64" i="16"/>
  <c r="F64" i="16"/>
  <c r="E64" i="16"/>
  <c r="D64" i="16"/>
  <c r="I44" i="16"/>
  <c r="H44" i="16"/>
  <c r="G44" i="16"/>
  <c r="F44" i="16"/>
  <c r="E44" i="16"/>
  <c r="D44" i="16"/>
  <c r="I38" i="16"/>
  <c r="H38" i="16"/>
  <c r="G38" i="16"/>
  <c r="F38" i="16"/>
  <c r="E38" i="16"/>
  <c r="D38" i="16"/>
  <c r="I32" i="16"/>
  <c r="H32" i="16"/>
  <c r="G32" i="16"/>
  <c r="F32" i="16"/>
  <c r="E32" i="16"/>
  <c r="D32" i="16"/>
  <c r="BN22" i="15" s="1"/>
  <c r="D25" i="16"/>
  <c r="BN18" i="15" s="1"/>
  <c r="BO18" i="15" s="1"/>
  <c r="I20" i="16"/>
  <c r="H20" i="16"/>
  <c r="G20" i="16"/>
  <c r="F20" i="16"/>
  <c r="E20" i="16"/>
  <c r="D20" i="16"/>
  <c r="I18" i="16"/>
  <c r="I42" i="16" s="1"/>
  <c r="H18" i="16"/>
  <c r="H42" i="16" s="1"/>
  <c r="G18" i="16"/>
  <c r="F18" i="16"/>
  <c r="F42" i="16" s="1"/>
  <c r="E18" i="16"/>
  <c r="E42" i="16" s="1"/>
  <c r="D18" i="16"/>
  <c r="I9" i="16"/>
  <c r="H9" i="16"/>
  <c r="AH24" i="16" l="1"/>
  <c r="I35" i="20"/>
  <c r="J44" i="20" s="1"/>
  <c r="C32" i="21"/>
  <c r="N26" i="16"/>
  <c r="G36" i="20"/>
  <c r="C51" i="21"/>
  <c r="C48" i="20"/>
  <c r="C59" i="20"/>
  <c r="M30" i="16" s="1"/>
  <c r="AF23" i="16" s="1"/>
  <c r="E36" i="20"/>
  <c r="S26" i="16" s="1"/>
  <c r="D42" i="16"/>
  <c r="D62" i="16"/>
  <c r="G42" i="16"/>
  <c r="G62" i="16"/>
  <c r="H51" i="16"/>
  <c r="H54" i="16" s="1"/>
  <c r="D51" i="16"/>
  <c r="BN33" i="15" s="1"/>
  <c r="E51" i="16"/>
  <c r="E54" i="16" s="1"/>
  <c r="F51" i="16"/>
  <c r="F54" i="16" s="1"/>
  <c r="G51" i="16"/>
  <c r="G54" i="16" s="1"/>
  <c r="I51" i="16"/>
  <c r="I54" i="16" s="1"/>
  <c r="E39" i="16"/>
  <c r="G39" i="16"/>
  <c r="D39" i="16"/>
  <c r="BN29" i="15" s="1"/>
  <c r="I39" i="16"/>
  <c r="F39" i="16"/>
  <c r="H39" i="16"/>
  <c r="BN19" i="15"/>
  <c r="BO30" i="15"/>
  <c r="BO35" i="15"/>
  <c r="C62" i="8"/>
  <c r="AE34" i="6"/>
  <c r="K15" i="9"/>
  <c r="AU37" i="12"/>
  <c r="AU36" i="12"/>
  <c r="M29" i="16" l="1"/>
  <c r="AG23" i="16" s="1"/>
  <c r="C50" i="20"/>
  <c r="G37" i="20"/>
  <c r="Y22" i="16" s="1"/>
  <c r="Y26" i="16"/>
  <c r="G47" i="20"/>
  <c r="C71" i="21"/>
  <c r="C52" i="21"/>
  <c r="E47" i="20"/>
  <c r="E37" i="20"/>
  <c r="S22" i="16" s="1"/>
  <c r="BO42" i="15"/>
  <c r="BO43" i="15"/>
  <c r="BO34" i="15"/>
  <c r="C22" i="9"/>
  <c r="AR5" i="14"/>
  <c r="AN35" i="14"/>
  <c r="J35" i="14"/>
  <c r="H40" i="14" s="1"/>
  <c r="G20" i="14"/>
  <c r="C20" i="14"/>
  <c r="U18" i="14"/>
  <c r="Q18" i="14"/>
  <c r="I18" i="14"/>
  <c r="E18" i="14"/>
  <c r="K15" i="14"/>
  <c r="H15" i="14"/>
  <c r="K24" i="14" s="1"/>
  <c r="D15" i="14"/>
  <c r="O13" i="14"/>
  <c r="M13" i="14"/>
  <c r="R10" i="14"/>
  <c r="W10" i="14" s="1"/>
  <c r="K10" i="14"/>
  <c r="G10" i="14"/>
  <c r="T8" i="14"/>
  <c r="P8" i="14"/>
  <c r="L8" i="14"/>
  <c r="F8" i="14"/>
  <c r="AQ4" i="13"/>
  <c r="AQ3" i="13"/>
  <c r="E2" i="13"/>
  <c r="AH5" i="13"/>
  <c r="F5" i="13"/>
  <c r="C5" i="13"/>
  <c r="BO5" i="13"/>
  <c r="BI5" i="13"/>
  <c r="BG5" i="13"/>
  <c r="BH5" i="13" s="1"/>
  <c r="BF5" i="13"/>
  <c r="BA5" i="13"/>
  <c r="BC5" i="13" s="1"/>
  <c r="AZ5" i="13"/>
  <c r="BE5" i="13" s="1"/>
  <c r="AY5" i="13"/>
  <c r="AV5" i="13"/>
  <c r="AX5" i="13" s="1"/>
  <c r="AU5" i="13"/>
  <c r="AR4" i="13"/>
  <c r="AJ4" i="13"/>
  <c r="AE4" i="13"/>
  <c r="AC4" i="13"/>
  <c r="AA4" i="13"/>
  <c r="Z4" i="13"/>
  <c r="X4" i="13"/>
  <c r="V4" i="13"/>
  <c r="U4" i="13"/>
  <c r="R4" i="13"/>
  <c r="Q4" i="13"/>
  <c r="K4" i="13"/>
  <c r="L4" i="13" s="1"/>
  <c r="E4" i="13"/>
  <c r="D4" i="13"/>
  <c r="BO4" i="13"/>
  <c r="BR4" i="13" s="1"/>
  <c r="BI4" i="13"/>
  <c r="BL4" i="13" s="1"/>
  <c r="BG4" i="13"/>
  <c r="BH4" i="13" s="1"/>
  <c r="BF4" i="13"/>
  <c r="BA4" i="13"/>
  <c r="BC4" i="13" s="1"/>
  <c r="AZ4" i="13"/>
  <c r="BB4" i="13" s="1"/>
  <c r="AY4" i="13"/>
  <c r="AV4" i="13"/>
  <c r="AW4" i="13" s="1"/>
  <c r="AU4" i="13"/>
  <c r="AR3" i="13"/>
  <c r="AO3" i="13"/>
  <c r="AJ3" i="13"/>
  <c r="AE3" i="13"/>
  <c r="AC3" i="13"/>
  <c r="AA3" i="13"/>
  <c r="Z3" i="13"/>
  <c r="X3" i="13"/>
  <c r="V3" i="13"/>
  <c r="U3" i="13"/>
  <c r="R3" i="13"/>
  <c r="Q3" i="13"/>
  <c r="K3" i="13"/>
  <c r="M3" i="13" s="1"/>
  <c r="I3" i="13"/>
  <c r="H3" i="13"/>
  <c r="E3" i="13"/>
  <c r="D3" i="13"/>
  <c r="BO3" i="13"/>
  <c r="BP3" i="13" s="1"/>
  <c r="BI3" i="13"/>
  <c r="BG3" i="13"/>
  <c r="BF3" i="13"/>
  <c r="BA3" i="13"/>
  <c r="BC3" i="13" s="1"/>
  <c r="AZ3" i="13"/>
  <c r="BE3" i="13" s="1"/>
  <c r="AY3" i="13"/>
  <c r="AV3" i="13"/>
  <c r="AX3" i="13" s="1"/>
  <c r="AU3" i="13"/>
  <c r="AR2" i="13"/>
  <c r="AQ2" i="13"/>
  <c r="AP2" i="13"/>
  <c r="BQ2" i="13" s="1"/>
  <c r="AO2" i="13"/>
  <c r="BD2" i="13" s="1"/>
  <c r="AJ2" i="13"/>
  <c r="AE2" i="13"/>
  <c r="AC2" i="13"/>
  <c r="AA2" i="13"/>
  <c r="Z2" i="13"/>
  <c r="X2" i="13"/>
  <c r="V2" i="13"/>
  <c r="U2" i="13"/>
  <c r="R2" i="13"/>
  <c r="Q2" i="13"/>
  <c r="K2" i="13"/>
  <c r="M2" i="13" s="1"/>
  <c r="I2" i="13"/>
  <c r="H2" i="13"/>
  <c r="D2" i="13"/>
  <c r="BO2" i="13"/>
  <c r="BP2" i="13" s="1"/>
  <c r="BI2" i="13"/>
  <c r="BL2" i="13" s="1"/>
  <c r="BG2" i="13"/>
  <c r="BJ2" i="13" s="1"/>
  <c r="BF2" i="13"/>
  <c r="BA2" i="13"/>
  <c r="BA6" i="13" s="1"/>
  <c r="AZ2" i="13"/>
  <c r="BB2" i="13" s="1"/>
  <c r="AY2" i="13"/>
  <c r="AV2" i="13"/>
  <c r="AX2" i="13" s="1"/>
  <c r="AU2" i="13"/>
  <c r="G86" i="8"/>
  <c r="B32" i="8"/>
  <c r="C22" i="8" s="1"/>
  <c r="F18" i="12"/>
  <c r="R18" i="12"/>
  <c r="AU21" i="12"/>
  <c r="BA48" i="12"/>
  <c r="BJ5" i="12"/>
  <c r="BI7" i="12"/>
  <c r="AU45" i="12"/>
  <c r="AD9" i="12"/>
  <c r="AU44" i="12"/>
  <c r="AU20" i="12"/>
  <c r="AU10" i="12"/>
  <c r="AU9" i="12"/>
  <c r="AU8" i="12" s="1"/>
  <c r="AU7" i="12"/>
  <c r="AU6" i="12"/>
  <c r="H11" i="12"/>
  <c r="E15" i="12"/>
  <c r="Q8" i="12"/>
  <c r="G9" i="12"/>
  <c r="Z37" i="12" s="1"/>
  <c r="AX37" i="12"/>
  <c r="AL10" i="12"/>
  <c r="AL9" i="12"/>
  <c r="AL8" i="12"/>
  <c r="BA39" i="12"/>
  <c r="K14" i="9"/>
  <c r="BJ20" i="12"/>
  <c r="BG21" i="12"/>
  <c r="BG20" i="12"/>
  <c r="M46" i="12"/>
  <c r="AI40" i="12"/>
  <c r="BA31" i="12"/>
  <c r="AU29" i="12"/>
  <c r="BA29" i="12" s="1"/>
  <c r="R29" i="12"/>
  <c r="AC21" i="12" s="1"/>
  <c r="M29" i="12"/>
  <c r="AU28" i="12"/>
  <c r="BA28" i="12" s="1"/>
  <c r="AU27" i="12"/>
  <c r="BC27" i="12" s="1"/>
  <c r="AU25" i="12"/>
  <c r="AU24" i="12"/>
  <c r="BA24" i="12" s="1"/>
  <c r="AU22" i="12"/>
  <c r="BA22" i="12" s="1"/>
  <c r="AY21" i="12"/>
  <c r="Q21" i="12"/>
  <c r="O21" i="12"/>
  <c r="AY20" i="12"/>
  <c r="H20" i="12"/>
  <c r="D20" i="12"/>
  <c r="AU18" i="12"/>
  <c r="BA18" i="12" s="1"/>
  <c r="J18" i="12"/>
  <c r="AU17" i="12"/>
  <c r="U17" i="12"/>
  <c r="W16" i="12" s="1"/>
  <c r="BI16" i="12"/>
  <c r="BJ16" i="12" s="1"/>
  <c r="BK16" i="12" s="1"/>
  <c r="BL16" i="12" s="1"/>
  <c r="BH16" i="12"/>
  <c r="AU16" i="12"/>
  <c r="AY16" i="12" s="1"/>
  <c r="S16" i="12"/>
  <c r="P16" i="12"/>
  <c r="N16" i="12"/>
  <c r="BI15" i="12"/>
  <c r="BJ15" i="12" s="1"/>
  <c r="BK15" i="12" s="1"/>
  <c r="BL15" i="12" s="1"/>
  <c r="BH15" i="12"/>
  <c r="L15" i="12"/>
  <c r="L14" i="12" s="1"/>
  <c r="I15" i="12"/>
  <c r="BI14" i="12"/>
  <c r="BJ14" i="12" s="1"/>
  <c r="BK14" i="12" s="1"/>
  <c r="BL14" i="12" s="1"/>
  <c r="BH14" i="12"/>
  <c r="BI13" i="12"/>
  <c r="BJ13" i="12" s="1"/>
  <c r="BK13" i="12" s="1"/>
  <c r="BL13" i="12" s="1"/>
  <c r="BH13" i="12"/>
  <c r="BI12" i="12"/>
  <c r="BJ12" i="12" s="1"/>
  <c r="BK12" i="12" s="1"/>
  <c r="BL12" i="12" s="1"/>
  <c r="BH12" i="12"/>
  <c r="BI11" i="12"/>
  <c r="BJ11" i="12" s="1"/>
  <c r="BK11" i="12" s="1"/>
  <c r="BL11" i="12" s="1"/>
  <c r="BH11" i="12"/>
  <c r="AU11" i="12"/>
  <c r="BA11" i="12" s="1"/>
  <c r="S11" i="12"/>
  <c r="X11" i="12" s="1"/>
  <c r="BI10" i="12"/>
  <c r="BJ10" i="12" s="1"/>
  <c r="BK10" i="12" s="1"/>
  <c r="BL10" i="12" s="1"/>
  <c r="BH10" i="12"/>
  <c r="BI9" i="12"/>
  <c r="BJ9" i="12" s="1"/>
  <c r="BK9" i="12" s="1"/>
  <c r="BL9" i="12" s="1"/>
  <c r="BH9" i="12"/>
  <c r="BI8" i="12"/>
  <c r="BJ8" i="12" s="1"/>
  <c r="BK8" i="12" s="1"/>
  <c r="BL8" i="12" s="1"/>
  <c r="BH8" i="12"/>
  <c r="U8" i="12"/>
  <c r="M8" i="12"/>
  <c r="BJ7" i="12"/>
  <c r="BK7" i="12" s="1"/>
  <c r="BL7" i="12" s="1"/>
  <c r="BH7" i="12"/>
  <c r="BA7" i="12"/>
  <c r="BI6" i="12"/>
  <c r="BJ6" i="12" s="1"/>
  <c r="BK6" i="12" s="1"/>
  <c r="BL6" i="12" s="1"/>
  <c r="BH6" i="12"/>
  <c r="BA6" i="12"/>
  <c r="BI5" i="12"/>
  <c r="BK5" i="12" s="1"/>
  <c r="BL5" i="12" s="1"/>
  <c r="BH5" i="12"/>
  <c r="BA5" i="12"/>
  <c r="N29" i="16" l="1"/>
  <c r="AG24" i="16" s="1"/>
  <c r="C54" i="21"/>
  <c r="N30" i="16"/>
  <c r="AF24" i="16" s="1"/>
  <c r="G48" i="20"/>
  <c r="G59" i="20"/>
  <c r="Y30" i="16" s="1"/>
  <c r="AN23" i="16" s="1"/>
  <c r="E59" i="20"/>
  <c r="E48" i="20"/>
  <c r="C19" i="8"/>
  <c r="C15" i="8"/>
  <c r="C31" i="8"/>
  <c r="C20" i="8"/>
  <c r="AY37" i="12"/>
  <c r="C21" i="8"/>
  <c r="C30" i="8"/>
  <c r="C18" i="8"/>
  <c r="C29" i="8"/>
  <c r="C17" i="8"/>
  <c r="C28" i="8"/>
  <c r="C16" i="8"/>
  <c r="C27" i="8"/>
  <c r="C26" i="8"/>
  <c r="C25" i="8"/>
  <c r="C24" i="8"/>
  <c r="C23" i="8"/>
  <c r="AV5" i="14"/>
  <c r="AU5" i="14"/>
  <c r="AT5" i="14"/>
  <c r="AS5" i="14"/>
  <c r="D5" i="14"/>
  <c r="AB22" i="14"/>
  <c r="V25" i="14"/>
  <c r="AM35" i="14" s="1"/>
  <c r="L21" i="14"/>
  <c r="N24" i="14" s="1"/>
  <c r="R24" i="14" s="1"/>
  <c r="AI22" i="14"/>
  <c r="AG26" i="14" s="1"/>
  <c r="Y13" i="14"/>
  <c r="AC5" i="13"/>
  <c r="H4" i="13"/>
  <c r="H5" i="13" s="1"/>
  <c r="I4" i="13"/>
  <c r="AO4" i="13"/>
  <c r="AP4" i="13"/>
  <c r="BQ5" i="13" s="1"/>
  <c r="AP3" i="13"/>
  <c r="BQ3" i="13" s="1"/>
  <c r="BD3" i="13"/>
  <c r="BE4" i="13"/>
  <c r="BT4" i="13" s="1"/>
  <c r="BP4" i="13"/>
  <c r="BE2" i="13"/>
  <c r="L2" i="13"/>
  <c r="BS3" i="13"/>
  <c r="BU3" i="13" s="1"/>
  <c r="BS5" i="13"/>
  <c r="BU5" i="13" s="1"/>
  <c r="BH2" i="13"/>
  <c r="AS2" i="13"/>
  <c r="BJ5" i="13"/>
  <c r="BP6" i="13"/>
  <c r="AW3" i="13"/>
  <c r="E5" i="13"/>
  <c r="BB5" i="13"/>
  <c r="L3" i="13"/>
  <c r="Q5" i="13"/>
  <c r="BB3" i="13"/>
  <c r="AS3" i="13"/>
  <c r="M4" i="13"/>
  <c r="BM2" i="13"/>
  <c r="AX4" i="13"/>
  <c r="BL5" i="13"/>
  <c r="BM3" i="13"/>
  <c r="BS4" i="13"/>
  <c r="BU4" i="13" s="1"/>
  <c r="R5" i="13"/>
  <c r="BL3" i="13"/>
  <c r="D5" i="13"/>
  <c r="BR3" i="13"/>
  <c r="BD5" i="13"/>
  <c r="BK5" i="13" s="1"/>
  <c r="AQ5" i="13"/>
  <c r="BM4" i="13"/>
  <c r="BS2" i="13"/>
  <c r="BU2" i="13" s="1"/>
  <c r="BP5" i="13"/>
  <c r="BR5" i="13"/>
  <c r="BC2" i="13"/>
  <c r="BC6" i="13" s="1"/>
  <c r="BG6" i="13"/>
  <c r="AE5" i="13"/>
  <c r="BB6" i="13"/>
  <c r="V5" i="13"/>
  <c r="AW2" i="13"/>
  <c r="AV6" i="13"/>
  <c r="AR5" i="13"/>
  <c r="X5" i="13"/>
  <c r="BN2" i="13"/>
  <c r="BM5" i="13"/>
  <c r="AW5" i="13"/>
  <c r="AJ5" i="13"/>
  <c r="BK2" i="13"/>
  <c r="BJ4" i="13"/>
  <c r="AA5" i="13"/>
  <c r="AZ6" i="13"/>
  <c r="BR2" i="13"/>
  <c r="BO6" i="13"/>
  <c r="BH3" i="13"/>
  <c r="BJ3" i="13"/>
  <c r="BI6" i="13"/>
  <c r="AU41" i="12"/>
  <c r="BA41" i="12"/>
  <c r="AY41" i="12"/>
  <c r="E6" i="12"/>
  <c r="AU15" i="12"/>
  <c r="BA15" i="12" s="1"/>
  <c r="AX36" i="12"/>
  <c r="BM13" i="12"/>
  <c r="BM7" i="12"/>
  <c r="BA21" i="12"/>
  <c r="BM5" i="12"/>
  <c r="AU23" i="12"/>
  <c r="BA23" i="12" s="1"/>
  <c r="AU30" i="12"/>
  <c r="AU32" i="12" s="1"/>
  <c r="BA32" i="12" s="1"/>
  <c r="BM6" i="12"/>
  <c r="W25" i="12"/>
  <c r="BM15" i="12"/>
  <c r="BM12" i="12"/>
  <c r="BC24" i="12"/>
  <c r="BM11" i="12"/>
  <c r="BM9" i="12"/>
  <c r="BM8" i="12"/>
  <c r="AU26" i="12"/>
  <c r="AY6" i="12"/>
  <c r="BM16" i="12"/>
  <c r="BM10" i="12"/>
  <c r="BM14" i="12"/>
  <c r="BA27" i="12"/>
  <c r="L11" i="12"/>
  <c r="M21" i="12" s="1"/>
  <c r="BA17" i="12"/>
  <c r="BA20" i="12"/>
  <c r="BA25" i="12"/>
  <c r="BA8" i="12"/>
  <c r="AU13" i="12"/>
  <c r="AY29" i="12"/>
  <c r="BA16" i="12"/>
  <c r="BA9" i="12"/>
  <c r="I30" i="12"/>
  <c r="L24" i="12" s="1"/>
  <c r="AY9" i="12"/>
  <c r="AU12" i="12"/>
  <c r="AY28" i="12"/>
  <c r="Y29" i="16" l="1"/>
  <c r="AO23" i="16" s="1"/>
  <c r="G50" i="20"/>
  <c r="S29" i="16"/>
  <c r="AK23" i="16" s="1"/>
  <c r="E50" i="20"/>
  <c r="AF11" i="12"/>
  <c r="AY36" i="12"/>
  <c r="AY39" i="12" s="1"/>
  <c r="AU40" i="12"/>
  <c r="AU42" i="12" s="1"/>
  <c r="AX5" i="14"/>
  <c r="AX6" i="14" s="1" a="1"/>
  <c r="AW5" i="14"/>
  <c r="AW6" i="14" s="1" a="1"/>
  <c r="N10" i="14"/>
  <c r="O18" i="14" s="1"/>
  <c r="D35" i="14" s="1"/>
  <c r="F55" i="14" s="1"/>
  <c r="AG36" i="14"/>
  <c r="AH34" i="14" s="1"/>
  <c r="AG9" i="14"/>
  <c r="T29" i="14"/>
  <c r="W12" i="14" s="1"/>
  <c r="AS4" i="13"/>
  <c r="BN3" i="13"/>
  <c r="AO5" i="13"/>
  <c r="BD4" i="13"/>
  <c r="BK4" i="13" s="1"/>
  <c r="AP5" i="13"/>
  <c r="BQ4" i="13"/>
  <c r="BQ6" i="13" s="1"/>
  <c r="BK3" i="13"/>
  <c r="BN4" i="13"/>
  <c r="BN5" i="13"/>
  <c r="BT5" i="13"/>
  <c r="BL6" i="13"/>
  <c r="BM6" i="13"/>
  <c r="AS5" i="13"/>
  <c r="BN6" i="13"/>
  <c r="L5" i="13"/>
  <c r="BE6" i="13"/>
  <c r="AX6" i="13"/>
  <c r="BH6" i="13"/>
  <c r="M5" i="13"/>
  <c r="BT3" i="13"/>
  <c r="BR6" i="13"/>
  <c r="BT2" i="13"/>
  <c r="BJ6" i="13"/>
  <c r="AW6" i="13"/>
  <c r="AU14" i="12"/>
  <c r="BA14" i="12" s="1"/>
  <c r="W26" i="12"/>
  <c r="BA30" i="12"/>
  <c r="O24" i="12"/>
  <c r="S24" i="12" s="1"/>
  <c r="O11" i="12"/>
  <c r="P18" i="12" s="1"/>
  <c r="G22" i="12" s="1"/>
  <c r="E35" i="12" s="1"/>
  <c r="T65" i="12" s="1"/>
  <c r="BA26" i="12"/>
  <c r="BA10" i="12"/>
  <c r="AU19" i="12"/>
  <c r="BA13" i="12"/>
  <c r="BC12" i="12"/>
  <c r="BA12" i="12"/>
  <c r="BA36" i="12"/>
  <c r="AU38" i="12" l="1"/>
  <c r="AU43" i="12" s="1"/>
  <c r="BA40" i="12"/>
  <c r="BA46" i="12"/>
  <c r="BA47" i="12" s="1"/>
  <c r="BA50" i="12" s="1"/>
  <c r="R53" i="14"/>
  <c r="T43" i="14" s="1"/>
  <c r="AJ50" i="14" s="1"/>
  <c r="Y19" i="14"/>
  <c r="AI24" i="14"/>
  <c r="AJ31" i="14" s="1"/>
  <c r="BK6" i="13"/>
  <c r="BD6" i="13"/>
  <c r="BT6" i="13"/>
  <c r="BA42" i="12"/>
  <c r="AY42" i="12"/>
  <c r="V49" i="12"/>
  <c r="AD52" i="12" s="1"/>
  <c r="AF46" i="12" s="1"/>
  <c r="Q55" i="12"/>
  <c r="BA19" i="12"/>
  <c r="AU33" i="12"/>
  <c r="BA33" i="12" s="1"/>
  <c r="U53" i="14" l="1"/>
  <c r="AF51" i="12"/>
  <c r="AM42" i="14"/>
  <c r="BA37" i="12"/>
  <c r="AY38" i="12" l="1"/>
  <c r="BA38" i="12"/>
  <c r="C15" i="11" l="1"/>
  <c r="G83" i="8" l="1"/>
  <c r="G85" i="8"/>
  <c r="G81" i="8"/>
  <c r="G87" i="8" s="1"/>
  <c r="J16" i="8" s="1"/>
  <c r="K16" i="8" s="1"/>
  <c r="G88" i="8" l="1"/>
  <c r="C9" i="8"/>
  <c r="C10" i="8" s="1"/>
  <c r="J26" i="8" s="1"/>
  <c r="B9" i="8"/>
  <c r="B10" i="8" s="1"/>
  <c r="E7" i="8"/>
  <c r="E8" i="8" s="1"/>
  <c r="E11" i="8" s="1"/>
  <c r="C63" i="8"/>
  <c r="C64" i="8"/>
  <c r="C65" i="8"/>
  <c r="J17" i="8" s="1"/>
  <c r="K17" i="8" s="1"/>
  <c r="C66" i="8"/>
  <c r="C67" i="8"/>
  <c r="J20" i="8" s="1"/>
  <c r="K20" i="8" s="1"/>
  <c r="C68" i="8"/>
  <c r="C69" i="8"/>
  <c r="C70" i="8"/>
  <c r="J23" i="8" s="1"/>
  <c r="K23" i="8" s="1"/>
  <c r="C71" i="8"/>
  <c r="C72" i="8"/>
  <c r="C73" i="8"/>
  <c r="C74" i="8"/>
  <c r="B75" i="8"/>
  <c r="C75" i="8" s="1"/>
  <c r="B59" i="8"/>
  <c r="B57" i="8"/>
  <c r="B58" i="8"/>
  <c r="B56" i="8"/>
  <c r="J21" i="8" s="1"/>
  <c r="K21" i="8" s="1"/>
  <c r="B55" i="8"/>
  <c r="B54" i="8"/>
  <c r="B53" i="8"/>
  <c r="B52" i="8"/>
  <c r="B51" i="8"/>
  <c r="B49" i="8"/>
  <c r="J14" i="8" s="1"/>
  <c r="K14" i="8" s="1"/>
  <c r="B50" i="8"/>
  <c r="J15" i="8" s="1"/>
  <c r="K15" i="8" s="1"/>
  <c r="C8" i="8"/>
  <c r="C11" i="8" s="1"/>
  <c r="B46" i="8"/>
  <c r="B44" i="8"/>
  <c r="B6" i="8"/>
  <c r="B5" i="8"/>
  <c r="B4" i="8"/>
  <c r="B22" i="9"/>
  <c r="B21" i="9"/>
  <c r="B20" i="9"/>
  <c r="C21" i="9"/>
  <c r="I14" i="9"/>
  <c r="I15" i="9" s="1"/>
  <c r="G15" i="9"/>
  <c r="E15" i="9"/>
  <c r="C15" i="9"/>
  <c r="E14" i="9"/>
  <c r="G14" i="9"/>
  <c r="C14" i="9"/>
  <c r="C20" i="9" l="1"/>
  <c r="C23" i="9" s="1"/>
  <c r="C24" i="9" s="1"/>
  <c r="H190" i="19"/>
  <c r="H199" i="19" s="1"/>
  <c r="G190" i="19"/>
  <c r="G199" i="19" s="1"/>
  <c r="F190" i="19"/>
  <c r="F199" i="19" s="1"/>
  <c r="U30" i="16" s="1"/>
  <c r="AL22" i="16" s="1"/>
  <c r="E190" i="19"/>
  <c r="E199" i="19" s="1"/>
  <c r="D190" i="19"/>
  <c r="D199" i="19" s="1"/>
  <c r="C190" i="19"/>
  <c r="C199" i="19" s="1"/>
  <c r="J18" i="8"/>
  <c r="K18" i="8" s="1"/>
  <c r="J19" i="8"/>
  <c r="K19" i="8" s="1"/>
  <c r="D63" i="8"/>
  <c r="D72" i="8"/>
  <c r="D74" i="8"/>
  <c r="D70" i="8"/>
  <c r="D69" i="8"/>
  <c r="D64" i="8"/>
  <c r="D68" i="8"/>
  <c r="D71" i="8"/>
  <c r="D67" i="8"/>
  <c r="D75" i="8"/>
  <c r="D62" i="8"/>
  <c r="D73" i="8"/>
  <c r="D66" i="8"/>
  <c r="J25" i="8"/>
  <c r="K25" i="8" s="1"/>
  <c r="B47" i="8"/>
  <c r="C44" i="8" s="1"/>
  <c r="D65" i="8"/>
  <c r="B7" i="8"/>
  <c r="B60" i="8"/>
  <c r="D7" i="8" s="1"/>
  <c r="D8" i="8" s="1"/>
  <c r="D11" i="8" s="1"/>
  <c r="L30" i="16" l="1"/>
  <c r="AF22" i="16" s="1"/>
  <c r="C72" i="21"/>
  <c r="R30" i="16"/>
  <c r="AJ22" i="16" s="1"/>
  <c r="E72" i="21"/>
  <c r="X30" i="16"/>
  <c r="AN22" i="16" s="1"/>
  <c r="G72" i="21"/>
  <c r="O30" i="16"/>
  <c r="AH22" i="16" s="1"/>
  <c r="D72" i="21"/>
  <c r="AA30" i="16"/>
  <c r="AP22" i="16" s="1"/>
  <c r="H72" i="21"/>
  <c r="N24" i="19"/>
  <c r="C244" i="19"/>
  <c r="F244" i="19"/>
  <c r="T24" i="19"/>
  <c r="H244" i="19"/>
  <c r="X24" i="19"/>
  <c r="C51" i="8"/>
  <c r="C53" i="8"/>
  <c r="B8" i="8"/>
  <c r="B11" i="8" s="1"/>
  <c r="C56" i="8"/>
  <c r="C57" i="8"/>
  <c r="C43" i="8"/>
  <c r="C45" i="8"/>
  <c r="D46" i="8" s="1"/>
  <c r="C47" i="8"/>
  <c r="C35" i="8"/>
  <c r="C36" i="8"/>
  <c r="C34" i="8"/>
  <c r="C37" i="8"/>
  <c r="C38" i="8"/>
  <c r="C39" i="8"/>
  <c r="C40" i="8"/>
  <c r="C41" i="8"/>
  <c r="C42" i="8"/>
  <c r="C58" i="8"/>
  <c r="C54" i="8"/>
  <c r="C52" i="8"/>
  <c r="C46" i="8"/>
  <c r="C55" i="8"/>
  <c r="C59" i="8"/>
  <c r="C50" i="8"/>
  <c r="C49" i="8"/>
  <c r="G4" i="7"/>
  <c r="F7" i="8" l="1"/>
  <c r="O13" i="6"/>
  <c r="R10" i="6"/>
  <c r="T8" i="6"/>
  <c r="P8" i="6"/>
  <c r="U18" i="6"/>
  <c r="K15" i="6"/>
  <c r="I18" i="6"/>
  <c r="G20" i="6"/>
  <c r="C20" i="6"/>
  <c r="E18" i="6"/>
  <c r="J35" i="6" l="1"/>
  <c r="H40" i="6" s="1"/>
  <c r="AN35" i="6" l="1"/>
  <c r="AB22" i="6"/>
  <c r="Q18" i="6"/>
  <c r="V25" i="6" s="1"/>
  <c r="AM35" i="6" s="1"/>
  <c r="H15" i="6"/>
  <c r="K24" i="6" s="1"/>
  <c r="D15" i="6"/>
  <c r="M13" i="6"/>
  <c r="Y13" i="6" s="1"/>
  <c r="W10" i="6"/>
  <c r="K10" i="6"/>
  <c r="G10" i="6"/>
  <c r="L8" i="6"/>
  <c r="F8" i="6"/>
  <c r="L21" i="6" l="1"/>
  <c r="N24" i="6" s="1"/>
  <c r="R24" i="6" s="1"/>
  <c r="D5" i="6"/>
  <c r="T29" i="6"/>
  <c r="W12" i="6" s="1"/>
  <c r="AI22" i="6"/>
  <c r="AG26" i="6" s="1"/>
  <c r="AG9" i="6" s="1"/>
  <c r="N10" i="6"/>
  <c r="O18" i="6" s="1"/>
  <c r="D35" i="6" s="1"/>
  <c r="R53" i="6" l="1"/>
  <c r="T43" i="6" s="1"/>
  <c r="AJ50" i="6" s="1"/>
  <c r="F55" i="6"/>
  <c r="AG36" i="6"/>
  <c r="Y19" i="6" s="1"/>
  <c r="AI24" i="6" l="1"/>
  <c r="AM42" i="6" s="1"/>
  <c r="T7" i="19"/>
  <c r="T14" i="19"/>
  <c r="T13" i="19"/>
  <c r="T8" i="19"/>
  <c r="T12" i="19"/>
  <c r="T10" i="19"/>
  <c r="T6" i="19"/>
  <c r="F10" i="20" l="1"/>
  <c r="F16" i="20" s="1"/>
  <c r="F10" i="21"/>
  <c r="V23" i="19"/>
  <c r="R23" i="19"/>
  <c r="P23" i="19"/>
  <c r="D197" i="19" l="1"/>
  <c r="O22" i="16"/>
  <c r="U6" i="16" s="1"/>
  <c r="P26" i="19"/>
  <c r="V26" i="19"/>
  <c r="X22" i="16"/>
  <c r="X6" i="16" s="1"/>
  <c r="E197" i="19"/>
  <c r="R22" i="16"/>
  <c r="V6" i="16" s="1"/>
  <c r="R26" i="19"/>
  <c r="F16" i="21"/>
  <c r="I10" i="21"/>
  <c r="F36" i="20"/>
  <c r="V26" i="16" s="1"/>
  <c r="I16" i="20"/>
  <c r="D244" i="19"/>
  <c r="E244" i="19"/>
  <c r="G197" i="19"/>
  <c r="F31" i="21" l="1"/>
  <c r="I16" i="21"/>
  <c r="F47" i="20"/>
  <c r="I47" i="20" s="1"/>
  <c r="F37" i="20"/>
  <c r="I36" i="20"/>
  <c r="G244" i="19"/>
  <c r="R24" i="19"/>
  <c r="P24" i="19"/>
  <c r="I37" i="20" l="1"/>
  <c r="V22" i="16"/>
  <c r="F32" i="21"/>
  <c r="W26" i="16"/>
  <c r="F51" i="21"/>
  <c r="I32" i="21"/>
  <c r="I31" i="21"/>
  <c r="F59" i="20"/>
  <c r="F48" i="20"/>
  <c r="V24" i="19"/>
  <c r="V29" i="16" l="1"/>
  <c r="AM23" i="16" s="1"/>
  <c r="F50" i="20"/>
  <c r="V30" i="16"/>
  <c r="AL23" i="16" s="1"/>
  <c r="S30" i="16"/>
  <c r="AJ23" i="16" s="1"/>
  <c r="I51" i="21"/>
  <c r="F71" i="21"/>
  <c r="F72" i="21" s="1"/>
  <c r="F52" i="21"/>
  <c r="F54" i="21" s="1"/>
  <c r="I52" i="21" l="1"/>
  <c r="W29" i="16"/>
  <c r="AM24" i="16" s="1"/>
  <c r="I71" i="21"/>
  <c r="W30" i="16"/>
  <c r="AL24" i="16" s="1"/>
  <c r="O36" i="23" l="1"/>
  <c r="O35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Nidia Elizabeth Ramirez Contreras</author>
    <author>tc={DE60574C-D681-4B45-ADE0-34A9B26EDD8A}</author>
  </authors>
  <commentList>
    <comment ref="O1" authorId="0" shapeId="0" xr:uid="{733D25E1-D55D-4FD8-B0C5-A8AC38556C84}">
      <text>
        <r>
          <rPr>
            <b/>
            <sz val="9"/>
            <color indexed="81"/>
            <rFont val="Tahoma"/>
            <family val="2"/>
          </rPr>
          <t>Nidia Elizabeth Ramirez Contreras:</t>
        </r>
        <r>
          <rPr>
            <sz val="9"/>
            <color indexed="81"/>
            <rFont val="Tahoma"/>
            <family val="2"/>
          </rPr>
          <t xml:space="preserve">
Recordar que la tusa prensada tiene menor humedad que la entera en general sale con 40-45% de humedad</t>
        </r>
      </text>
    </comment>
    <comment ref="AV1" authorId="1" shapeId="0" xr:uid="{DE60574C-D681-4B45-ADE0-34A9B26EDD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Poder calorifico inferior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<sst xmlns="http://schemas.openxmlformats.org/spreadsheetml/2006/main" count="1841" uniqueCount="754">
  <si>
    <t>kg</t>
  </si>
  <si>
    <t>kWh</t>
  </si>
  <si>
    <r>
      <t>m</t>
    </r>
    <r>
      <rPr>
        <vertAlign val="superscript"/>
        <sz val="9"/>
        <color theme="1"/>
        <rFont val="Tenorite"/>
      </rPr>
      <t>3</t>
    </r>
  </si>
  <si>
    <t>Biogas</t>
  </si>
  <si>
    <t>kW</t>
  </si>
  <si>
    <t>MJ</t>
  </si>
  <si>
    <t>Ef.</t>
  </si>
  <si>
    <t>KWh</t>
  </si>
  <si>
    <t>Revisar tanque UASP</t>
  </si>
  <si>
    <t>P (PSI)</t>
  </si>
  <si>
    <t>t (min)</t>
  </si>
  <si>
    <t>Ste 1</t>
  </si>
  <si>
    <t>Ste 2</t>
  </si>
  <si>
    <t>Ste 3</t>
  </si>
  <si>
    <t xml:space="preserve"> </t>
  </si>
  <si>
    <t>C</t>
  </si>
  <si>
    <t>H</t>
  </si>
  <si>
    <t>O</t>
  </si>
  <si>
    <t>N</t>
  </si>
  <si>
    <t>S</t>
  </si>
  <si>
    <t>Properties</t>
  </si>
  <si>
    <t>Unit</t>
  </si>
  <si>
    <t>EFB</t>
  </si>
  <si>
    <t>Fiber</t>
  </si>
  <si>
    <t>PKS</t>
  </si>
  <si>
    <t>Average</t>
  </si>
  <si>
    <t>Standard</t>
  </si>
  <si>
    <t>Deviation</t>
  </si>
  <si>
    <t>Moisture</t>
  </si>
  <si>
    <t>(% wet basis)</t>
  </si>
  <si>
    <t>(% dry basis)</t>
  </si>
  <si>
    <t>1.02</t>
  </si>
  <si>
    <t>HHV</t>
  </si>
  <si>
    <t>(kJ/kg)</t>
  </si>
  <si>
    <t>LHV</t>
  </si>
  <si>
    <t>Pressed EFB</t>
  </si>
  <si>
    <t>tRFF</t>
  </si>
  <si>
    <t>MF</t>
  </si>
  <si>
    <t>kg/s</t>
  </si>
  <si>
    <t>kJ/s</t>
  </si>
  <si>
    <t>Importación</t>
  </si>
  <si>
    <t>USD</t>
  </si>
  <si>
    <t>Suministro locales</t>
  </si>
  <si>
    <t>Suministros planta</t>
  </si>
  <si>
    <t>Esterilización</t>
  </si>
  <si>
    <t>Total</t>
  </si>
  <si>
    <t>Recepción</t>
  </si>
  <si>
    <t>Desfrutación</t>
  </si>
  <si>
    <t>Prensado</t>
  </si>
  <si>
    <t>Extracción</t>
  </si>
  <si>
    <t>Clarificación</t>
  </si>
  <si>
    <t>Desfibración</t>
  </si>
  <si>
    <t>Palmisteria</t>
  </si>
  <si>
    <t>Caldera</t>
  </si>
  <si>
    <t>Turbina</t>
  </si>
  <si>
    <t>Accesorios</t>
  </si>
  <si>
    <t>Supervisión</t>
  </si>
  <si>
    <t>Almacenamiento</t>
  </si>
  <si>
    <t>Tanque Elevado</t>
  </si>
  <si>
    <t>Aislamiento</t>
  </si>
  <si>
    <t>Montaje Mecanico</t>
  </si>
  <si>
    <t>Montaje tuberia</t>
  </si>
  <si>
    <t>$/t RFF</t>
  </si>
  <si>
    <t xml:space="preserve">AIC </t>
  </si>
  <si>
    <t>Palmistería</t>
  </si>
  <si>
    <t>Clarificación convencional</t>
  </si>
  <si>
    <t>Clarifación dinamica</t>
  </si>
  <si>
    <t>Transporte EFB</t>
  </si>
  <si>
    <t>Bombas</t>
  </si>
  <si>
    <t>Generación de vapor</t>
  </si>
  <si>
    <t>Montaje</t>
  </si>
  <si>
    <t>Total + IVA</t>
  </si>
  <si>
    <t>MFMI</t>
  </si>
  <si>
    <t>Transporte caldera</t>
  </si>
  <si>
    <t>Clarifiación</t>
  </si>
  <si>
    <t>Redler tusa</t>
  </si>
  <si>
    <t>Tableros</t>
  </si>
  <si>
    <t>AVM</t>
  </si>
  <si>
    <t>Tecnintegral</t>
  </si>
  <si>
    <t>Recepeción</t>
  </si>
  <si>
    <t>Prensado de raquis</t>
  </si>
  <si>
    <t>Despachi</t>
  </si>
  <si>
    <t>Instalaciones electricas</t>
  </si>
  <si>
    <t xml:space="preserve">Varias </t>
  </si>
  <si>
    <t>Edificio</t>
  </si>
  <si>
    <t>Cogeneración</t>
  </si>
  <si>
    <t>USD/kW</t>
  </si>
  <si>
    <t>1.</t>
  </si>
  <si>
    <t>Recepcion de RFF</t>
  </si>
  <si>
    <t xml:space="preserve">FFB Conditioner (Acondicionador de Fruto) </t>
  </si>
  <si>
    <t>1 Unit</t>
  </si>
  <si>
    <t>2 Unit</t>
  </si>
  <si>
    <t>1 Unidad</t>
  </si>
  <si>
    <t>2.</t>
  </si>
  <si>
    <t>Esterilizacion</t>
  </si>
  <si>
    <t>2.01</t>
  </si>
  <si>
    <t>Esterilizador continuo</t>
  </si>
  <si>
    <t xml:space="preserve"> 2 unit </t>
  </si>
  <si>
    <t>5.</t>
  </si>
  <si>
    <t>PH COOKER</t>
  </si>
  <si>
    <t>5.01</t>
  </si>
  <si>
    <t>PH8000L Vertical cooker c/w Am Control System</t>
  </si>
  <si>
    <t>1  Unidad</t>
  </si>
  <si>
    <t>5.03</t>
  </si>
  <si>
    <t>Tamiz circular SWECO 60"</t>
  </si>
  <si>
    <t>Esterilización continua</t>
  </si>
  <si>
    <t>FRUTO PROCESADO 2022 (TONELADAS)</t>
  </si>
  <si>
    <t>PLANTA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</si>
  <si>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</si>
  <si>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</si>
  <si>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</si>
  <si>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</si>
  <si>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</si>
  <si>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</si>
  <si>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</si>
  <si>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</si>
  <si>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</si>
  <si>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</si>
  <si>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</si>
  <si>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</si>
  <si>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ACUMULADO</t>
  </si>
  <si>
    <t>Palmaceite</t>
  </si>
  <si>
    <t>Aceites</t>
  </si>
  <si>
    <t xml:space="preserve">Extrarsa </t>
  </si>
  <si>
    <t>C.I. Tequendama</t>
  </si>
  <si>
    <t>Gradesa</t>
  </si>
  <si>
    <t>Padelma</t>
  </si>
  <si>
    <t>State</t>
  </si>
  <si>
    <t>Description</t>
  </si>
  <si>
    <t>Mass flow rate
(kg/h)</t>
  </si>
  <si>
    <t>Temperature 
(°C)</t>
  </si>
  <si>
    <t>Pressure
(Mpa)</t>
  </si>
  <si>
    <t>Enthalpy 
(kJ/kg)</t>
  </si>
  <si>
    <t>Energy flow
(kW)</t>
  </si>
  <si>
    <t>SSR at turbine loaded 
(kg/kW)</t>
  </si>
  <si>
    <t>Fractions
of steam
(kg) and
electricity
(kW) per
tonne FFB</t>
  </si>
  <si>
    <t>Fuel</t>
  </si>
  <si>
    <t>FFB</t>
  </si>
  <si>
    <t>Sterilized FFB</t>
  </si>
  <si>
    <t>Sterilization condensate</t>
  </si>
  <si>
    <t>Steam</t>
  </si>
  <si>
    <t>Loose fruit</t>
  </si>
  <si>
    <t>Raw EFB</t>
  </si>
  <si>
    <t>EFB liquor</t>
  </si>
  <si>
    <t>Press liquor</t>
  </si>
  <si>
    <t>Press cake</t>
  </si>
  <si>
    <t>Water</t>
  </si>
  <si>
    <t>Wet CPO</t>
  </si>
  <si>
    <t xml:space="preserve">Steam </t>
  </si>
  <si>
    <t>CPO</t>
  </si>
  <si>
    <t>Nuts</t>
  </si>
  <si>
    <t>Kernel</t>
  </si>
  <si>
    <t>POME</t>
  </si>
  <si>
    <t>Clarification sludge</t>
  </si>
  <si>
    <t>Biomass fuel</t>
  </si>
  <si>
    <t>Flue gas</t>
  </si>
  <si>
    <t>Electricity</t>
  </si>
  <si>
    <t>FFB feed (tonne)</t>
  </si>
  <si>
    <t>Capacity (t/h)</t>
  </si>
  <si>
    <t>POME generation (m3)</t>
  </si>
  <si>
    <t>Biogas production (Nm3)</t>
  </si>
  <si>
    <t>Energy input (kWh)</t>
  </si>
  <si>
    <t>Power generation (kW)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</si>
  <si>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</si>
  <si>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</si>
  <si>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</si>
  <si>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</si>
  <si>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</si>
  <si>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</si>
  <si>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</si>
  <si>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</si>
  <si>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</si>
  <si>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</si>
  <si>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</si>
  <si>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</si>
  <si>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</si>
  <si>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Phase/type</t>
  </si>
  <si>
    <t xml:space="preserve">Sterilization vent </t>
  </si>
  <si>
    <t>steam/saturated</t>
  </si>
  <si>
    <t>liquid/oil fraction</t>
  </si>
  <si>
    <t>solid</t>
  </si>
  <si>
    <t>solid/oil fraction</t>
  </si>
  <si>
    <t xml:space="preserve"> solid/oil fraction</t>
  </si>
  <si>
    <t>water/saturated</t>
  </si>
  <si>
    <t>gas</t>
  </si>
  <si>
    <t>steam/superheated</t>
  </si>
  <si>
    <t>atm</t>
  </si>
  <si>
    <t>EFF boiler and Cogeneration</t>
  </si>
  <si>
    <t>Q1</t>
  </si>
  <si>
    <t>Pretratamiento</t>
  </si>
  <si>
    <t>Q2</t>
  </si>
  <si>
    <t>Cpw</t>
  </si>
  <si>
    <t>Cp EFB</t>
  </si>
  <si>
    <t>Ti</t>
  </si>
  <si>
    <t>Tf</t>
  </si>
  <si>
    <t>Qn</t>
  </si>
  <si>
    <t>Dry EFB</t>
  </si>
  <si>
    <t>EFB dry</t>
  </si>
  <si>
    <t>EFB dried</t>
  </si>
  <si>
    <t>Zona</t>
  </si>
  <si>
    <t>POM</t>
  </si>
  <si>
    <t>Horas netas de operación al año</t>
  </si>
  <si>
    <t>Columna1</t>
  </si>
  <si>
    <t>Capacidad de la Planta 
( t RFF/h)</t>
  </si>
  <si>
    <t>Fruta procesada</t>
  </si>
  <si>
    <t>Energía electrica consumida</t>
  </si>
  <si>
    <t>Columna2</t>
  </si>
  <si>
    <t>Energía eléctica consumida</t>
  </si>
  <si>
    <t>Volumen de agua consumida en caldera</t>
  </si>
  <si>
    <t>Cantidad de agua en caldera (kg)</t>
  </si>
  <si>
    <t>Vapor especifico (kg/t rFF)</t>
  </si>
  <si>
    <t>Consumo de vapor proceso (kG/h)</t>
  </si>
  <si>
    <t>Tusa entera generada</t>
  </si>
  <si>
    <t>Tusa prensada generada</t>
  </si>
  <si>
    <t>Cantidad Tusa Entera (Global)</t>
  </si>
  <si>
    <t>Tusa por RFF</t>
  </si>
  <si>
    <t>Ratio Tusa:RFF</t>
  </si>
  <si>
    <t>Tusa a campo</t>
  </si>
  <si>
    <t>Fibra generada</t>
  </si>
  <si>
    <t>Ratio Fibra:RFF</t>
  </si>
  <si>
    <t>Fibra por RFF</t>
  </si>
  <si>
    <t>Fibra a Caldera</t>
  </si>
  <si>
    <t>Relación uso fibra en caldera</t>
  </si>
  <si>
    <t>Cusco generado</t>
  </si>
  <si>
    <t>Ratio Cuesco:RFF</t>
  </si>
  <si>
    <t>Cuesco por RFF</t>
  </si>
  <si>
    <t>Cuesco a Caldera</t>
  </si>
  <si>
    <t>Relación uso cuesco</t>
  </si>
  <si>
    <t>Cantidad efluente</t>
  </si>
  <si>
    <t>Efluente por RFF</t>
  </si>
  <si>
    <t>Tiene carpado de lagunas?</t>
  </si>
  <si>
    <t>Tiene captura de metano?</t>
  </si>
  <si>
    <t>DQO entrada Lagunas</t>
  </si>
  <si>
    <t>DQO salida Lagunas</t>
  </si>
  <si>
    <t>Eficiencia de remoción DQO</t>
  </si>
  <si>
    <t>Generación con vapor</t>
  </si>
  <si>
    <t>Generación con biogás</t>
  </si>
  <si>
    <t>Red Nacional</t>
  </si>
  <si>
    <t>Generación con diesél</t>
  </si>
  <si>
    <t>Biomass</t>
  </si>
  <si>
    <t>Electric grid</t>
  </si>
  <si>
    <t>Diesel</t>
  </si>
  <si>
    <t>Producción media 
Tusa (t/h)</t>
  </si>
  <si>
    <t>EFB (TJ)</t>
  </si>
  <si>
    <t>Potencial especifico (tusa)
(MJ/ t RFF)</t>
  </si>
  <si>
    <t>Potencial tusa (MW)</t>
  </si>
  <si>
    <t>Producción media fibra (t/h)</t>
  </si>
  <si>
    <t>MF (TJ)</t>
  </si>
  <si>
    <t>Energía fibra en caldera (TJ)</t>
  </si>
  <si>
    <t>total Fibra (MW)</t>
  </si>
  <si>
    <t>Fibra Caldera (MW)</t>
  </si>
  <si>
    <t>Fibra cogeneración (MW)</t>
  </si>
  <si>
    <t>Potencial especifico (fibra)
(MJ/ t RFF)</t>
  </si>
  <si>
    <t>Producción media cuesco (t/h)</t>
  </si>
  <si>
    <t>PKS (TJ)</t>
  </si>
  <si>
    <t>Potencial especifico (cuesco)
(MJ/ t RFF)</t>
  </si>
  <si>
    <t>Energía cuesco en caldera (TJ)</t>
  </si>
  <si>
    <t>Total PKS (MW)</t>
  </si>
  <si>
    <t>PKS Cogen</t>
  </si>
  <si>
    <t>PKS caldera (MW)</t>
  </si>
  <si>
    <t>Potencial energético biomasa solida (TJ)</t>
  </si>
  <si>
    <t>Potencial energético (MW)</t>
  </si>
  <si>
    <t>POME (TJ)</t>
  </si>
  <si>
    <t>POME (MW)</t>
  </si>
  <si>
    <t>Potencial especifico (POME)
(MJ/ t RFF)22</t>
  </si>
  <si>
    <t>Boiler biomass energy 
(MJ/t RFF)</t>
  </si>
  <si>
    <t>Biomass energy potential</t>
  </si>
  <si>
    <t>Boiler biomass energy 
(MW)</t>
  </si>
  <si>
    <t>Norte</t>
  </si>
  <si>
    <t>no</t>
  </si>
  <si>
    <t>Operating hours (h)</t>
  </si>
  <si>
    <t>CPw</t>
  </si>
  <si>
    <t>Cpefb</t>
  </si>
  <si>
    <t xml:space="preserve">Secado tusa </t>
  </si>
  <si>
    <t>EFB (kg/h)</t>
  </si>
  <si>
    <t>MF (kg/h)</t>
  </si>
  <si>
    <t>PKS (kg/h)</t>
  </si>
  <si>
    <t>Q1 (kWh/kg)</t>
  </si>
  <si>
    <t xml:space="preserve">Desfrutado </t>
  </si>
  <si>
    <t>Turbina Contrapresiòn</t>
  </si>
  <si>
    <t>Redes e infraestructura</t>
  </si>
  <si>
    <t>Pretratamiento mecanico</t>
  </si>
  <si>
    <t>Pretratamiento termico</t>
  </si>
  <si>
    <t>Turbina Extracción condensación</t>
  </si>
  <si>
    <t>Sistema gases de combustión</t>
  </si>
  <si>
    <t>Limpieza metano</t>
  </si>
  <si>
    <t>Estado</t>
  </si>
  <si>
    <t>Fase/tipo</t>
  </si>
  <si>
    <t>Flujo energètico (kW)</t>
  </si>
  <si>
    <t>Flujo Masico2</t>
  </si>
  <si>
    <t>Temperatura</t>
  </si>
  <si>
    <t xml:space="preserve">Presiòn </t>
  </si>
  <si>
    <t>Parametro</t>
  </si>
  <si>
    <t>Unidad</t>
  </si>
  <si>
    <t>Planta extractora</t>
  </si>
  <si>
    <t>Palmaceite
Planta A</t>
  </si>
  <si>
    <t>Aceites
Planta B</t>
  </si>
  <si>
    <t>Extrarsa
Planta C</t>
  </si>
  <si>
    <t>Tequendama
Planta D</t>
  </si>
  <si>
    <t>Gradesa
Planta E</t>
  </si>
  <si>
    <t>Padelma
Planta F</t>
  </si>
  <si>
    <t>Consumo de vapor en proceso</t>
  </si>
  <si>
    <r>
      <t>kg t RFF</t>
    </r>
    <r>
      <rPr>
        <i/>
        <vertAlign val="superscript"/>
        <sz val="9"/>
        <color rgb="FF000000"/>
        <rFont val="Tenorite"/>
      </rPr>
      <t>-1</t>
    </r>
  </si>
  <si>
    <t>Consumo de electricidad en PB</t>
  </si>
  <si>
    <r>
      <t>kWh t RFF</t>
    </r>
    <r>
      <rPr>
        <vertAlign val="superscript"/>
        <sz val="9"/>
        <color rgb="FF000000"/>
        <rFont val="Tenorite"/>
      </rPr>
      <t>-1</t>
    </r>
  </si>
  <si>
    <t>Consumo de diésel en PB</t>
  </si>
  <si>
    <r>
      <t>L t RFF</t>
    </r>
    <r>
      <rPr>
        <vertAlign val="superscript"/>
        <sz val="9"/>
        <color rgb="FF000000"/>
        <rFont val="Tenorite"/>
      </rPr>
      <t>-1</t>
    </r>
  </si>
  <si>
    <t>0.02</t>
  </si>
  <si>
    <t>Biomasa usada como combustible</t>
  </si>
  <si>
    <t>Cuesco</t>
  </si>
  <si>
    <r>
      <t>kg t RFF</t>
    </r>
    <r>
      <rPr>
        <vertAlign val="superscript"/>
        <sz val="9"/>
        <color rgb="FF000000"/>
        <rFont val="Tenorite"/>
      </rPr>
      <t>-1</t>
    </r>
  </si>
  <si>
    <t xml:space="preserve">Fibra </t>
  </si>
  <si>
    <t>Raquis</t>
  </si>
  <si>
    <t>Eficiencia térmica/electrica sistema de combustión</t>
  </si>
  <si>
    <t>%</t>
  </si>
  <si>
    <t>76/13</t>
  </si>
  <si>
    <t>55/0</t>
  </si>
  <si>
    <t>62/0</t>
  </si>
  <si>
    <t>53/0</t>
  </si>
  <si>
    <t>65/0%</t>
  </si>
  <si>
    <t>47/0</t>
  </si>
  <si>
    <t>Eficiencia eléctrica planta de biogás</t>
  </si>
  <si>
    <t>N.A.</t>
  </si>
  <si>
    <t>Capacidad de procesamiento</t>
  </si>
  <si>
    <r>
      <t>t</t>
    </r>
    <r>
      <rPr>
        <vertAlign val="subscript"/>
        <sz val="12"/>
        <color theme="1"/>
        <rFont val="Tenorite"/>
      </rPr>
      <t>RFF</t>
    </r>
    <r>
      <rPr>
        <sz val="9"/>
        <color theme="1"/>
        <rFont val="Tenorite"/>
        <family val="2"/>
      </rPr>
      <t xml:space="preserve"> h</t>
    </r>
    <r>
      <rPr>
        <vertAlign val="superscript"/>
        <sz val="12"/>
        <color theme="1"/>
        <rFont val="Tenorite"/>
      </rPr>
      <t>-1</t>
    </r>
  </si>
  <si>
    <t xml:space="preserve">Fruto procesado </t>
  </si>
  <si>
    <r>
      <t>t</t>
    </r>
    <r>
      <rPr>
        <vertAlign val="subscript"/>
        <sz val="12"/>
        <color theme="1"/>
        <rFont val="Tenorite"/>
      </rPr>
      <t>RFF</t>
    </r>
    <r>
      <rPr>
        <sz val="9"/>
        <color theme="1"/>
        <rFont val="Tenorite"/>
        <family val="2"/>
      </rPr>
      <t xml:space="preserve"> año</t>
    </r>
    <r>
      <rPr>
        <vertAlign val="superscript"/>
        <sz val="12"/>
        <color theme="1"/>
        <rFont val="Tenorite"/>
      </rPr>
      <t>-1</t>
    </r>
  </si>
  <si>
    <t>Horas de operación</t>
  </si>
  <si>
    <r>
      <t>h año</t>
    </r>
    <r>
      <rPr>
        <vertAlign val="superscript"/>
        <sz val="12"/>
        <color theme="1"/>
        <rFont val="Tenorite"/>
      </rPr>
      <t>-1</t>
    </r>
  </si>
  <si>
    <t>Tasa de extracción aceite</t>
  </si>
  <si>
    <r>
      <t>% ACP t</t>
    </r>
    <r>
      <rPr>
        <vertAlign val="subscript"/>
        <sz val="12"/>
        <color theme="1"/>
        <rFont val="Tenorite"/>
      </rPr>
      <t>RFF</t>
    </r>
    <r>
      <rPr>
        <vertAlign val="superscript"/>
        <sz val="12"/>
        <color theme="1"/>
        <rFont val="Tenorite"/>
      </rPr>
      <t>-1</t>
    </r>
  </si>
  <si>
    <t>Aceite crudo producido</t>
  </si>
  <si>
    <r>
      <t>t</t>
    </r>
    <r>
      <rPr>
        <vertAlign val="subscript"/>
        <sz val="12"/>
        <color theme="1"/>
        <rFont val="Tenorite"/>
      </rPr>
      <t>ACP</t>
    </r>
    <r>
      <rPr>
        <sz val="9"/>
        <color theme="1"/>
        <rFont val="Tenorite"/>
        <family val="2"/>
      </rPr>
      <t xml:space="preserve"> año</t>
    </r>
    <r>
      <rPr>
        <vertAlign val="superscript"/>
        <sz val="12"/>
        <color theme="1"/>
        <rFont val="Tenorite"/>
      </rPr>
      <t>-1</t>
    </r>
  </si>
  <si>
    <t>PKO producido</t>
  </si>
  <si>
    <r>
      <t>t</t>
    </r>
    <r>
      <rPr>
        <vertAlign val="subscript"/>
        <sz val="12"/>
        <color theme="1"/>
        <rFont val="Tenorite"/>
      </rPr>
      <t>PKO</t>
    </r>
    <r>
      <rPr>
        <sz val="9"/>
        <color theme="1"/>
        <rFont val="Tenorite"/>
        <family val="2"/>
      </rPr>
      <t xml:space="preserve"> año</t>
    </r>
    <r>
      <rPr>
        <vertAlign val="superscript"/>
        <sz val="12"/>
        <color theme="1"/>
        <rFont val="Tenorite"/>
      </rPr>
      <t>-1</t>
    </r>
  </si>
  <si>
    <t>Humedad PKO</t>
  </si>
  <si>
    <t>Vapor de esterilización</t>
  </si>
  <si>
    <r>
      <t>kg</t>
    </r>
    <r>
      <rPr>
        <vertAlign val="subscript"/>
        <sz val="12"/>
        <color theme="1"/>
        <rFont val="Tenorite"/>
      </rPr>
      <t>vapor</t>
    </r>
    <r>
      <rPr>
        <sz val="9"/>
        <color theme="1"/>
        <rFont val="Tenorite"/>
        <family val="2"/>
      </rPr>
      <t xml:space="preserve"> h</t>
    </r>
    <r>
      <rPr>
        <vertAlign val="superscript"/>
        <sz val="12"/>
        <color theme="1"/>
        <rFont val="Tenorite"/>
      </rPr>
      <t>-1</t>
    </r>
  </si>
  <si>
    <t xml:space="preserve">Deshidratación del fruto </t>
  </si>
  <si>
    <t>Condensados de esterilización</t>
  </si>
  <si>
    <r>
      <t>kg t</t>
    </r>
    <r>
      <rPr>
        <vertAlign val="subscript"/>
        <sz val="12"/>
        <color theme="1"/>
        <rFont val="Tenorite"/>
      </rPr>
      <t>RFF</t>
    </r>
    <r>
      <rPr>
        <sz val="9"/>
        <color theme="1"/>
        <rFont val="Tenorite"/>
        <family val="2"/>
      </rPr>
      <t>h</t>
    </r>
    <r>
      <rPr>
        <vertAlign val="superscript"/>
        <sz val="12"/>
        <color theme="1"/>
        <rFont val="Tenorite"/>
      </rPr>
      <t>-1</t>
    </r>
  </si>
  <si>
    <t xml:space="preserve">Tusas vacias </t>
  </si>
  <si>
    <t>Humedad tusa</t>
  </si>
  <si>
    <t>Masa que pasa por digestor</t>
  </si>
  <si>
    <r>
      <t>MPD t</t>
    </r>
    <r>
      <rPr>
        <vertAlign val="subscript"/>
        <sz val="12"/>
        <color theme="1"/>
        <rFont val="Tenorite"/>
      </rPr>
      <t>RFF</t>
    </r>
    <r>
      <rPr>
        <sz val="9"/>
        <color theme="1"/>
        <rFont val="Tenorite"/>
        <family val="2"/>
      </rPr>
      <t>h</t>
    </r>
    <r>
      <rPr>
        <vertAlign val="superscript"/>
        <sz val="12"/>
        <color theme="1"/>
        <rFont val="Tenorite"/>
      </rPr>
      <t>-1</t>
    </r>
  </si>
  <si>
    <t>Humedad MPD</t>
  </si>
  <si>
    <t>Vapor de digestión</t>
  </si>
  <si>
    <t>Licor de prensa</t>
  </si>
  <si>
    <r>
      <t>kg</t>
    </r>
    <r>
      <rPr>
        <vertAlign val="subscript"/>
        <sz val="12"/>
        <color theme="1"/>
        <rFont val="Tenorite"/>
      </rPr>
      <t>LP</t>
    </r>
    <r>
      <rPr>
        <sz val="9"/>
        <color theme="1"/>
        <rFont val="Tenorite"/>
        <family val="2"/>
      </rPr>
      <t xml:space="preserve"> h</t>
    </r>
    <r>
      <rPr>
        <vertAlign val="superscript"/>
        <sz val="12"/>
        <color theme="1"/>
        <rFont val="Tenorite"/>
      </rPr>
      <t>-1</t>
    </r>
  </si>
  <si>
    <t>Aceite crudo en LP</t>
  </si>
  <si>
    <t>Agua en LP</t>
  </si>
  <si>
    <t>Residuos organicos en LP</t>
  </si>
  <si>
    <t>Fibra de mesocarpio</t>
  </si>
  <si>
    <r>
      <t>t</t>
    </r>
    <r>
      <rPr>
        <vertAlign val="subscript"/>
        <sz val="12"/>
        <color theme="1"/>
        <rFont val="Tenorite"/>
      </rPr>
      <t>Fibra</t>
    </r>
    <r>
      <rPr>
        <sz val="9"/>
        <color theme="1"/>
        <rFont val="Tenorite"/>
        <family val="2"/>
      </rPr>
      <t xml:space="preserve"> año</t>
    </r>
    <r>
      <rPr>
        <vertAlign val="superscript"/>
        <sz val="12"/>
        <color theme="1"/>
        <rFont val="Tenorite"/>
      </rPr>
      <t>-1</t>
    </r>
  </si>
  <si>
    <t>Humedad de mesocarpio</t>
  </si>
  <si>
    <t>Nueces</t>
  </si>
  <si>
    <r>
      <t>t</t>
    </r>
    <r>
      <rPr>
        <vertAlign val="subscript"/>
        <sz val="12"/>
        <color theme="1"/>
        <rFont val="Tenorite"/>
      </rPr>
      <t>Nuez</t>
    </r>
    <r>
      <rPr>
        <sz val="9"/>
        <color theme="1"/>
        <rFont val="Tenorite"/>
        <family val="2"/>
      </rPr>
      <t xml:space="preserve"> año</t>
    </r>
    <r>
      <rPr>
        <vertAlign val="superscript"/>
        <sz val="12"/>
        <color theme="1"/>
        <rFont val="Tenorite"/>
      </rPr>
      <t>-1</t>
    </r>
  </si>
  <si>
    <t>Humedad de nueces</t>
  </si>
  <si>
    <r>
      <t>kg</t>
    </r>
    <r>
      <rPr>
        <vertAlign val="subscript"/>
        <sz val="12"/>
        <color theme="1"/>
        <rFont val="Tenorite"/>
      </rPr>
      <t>agua</t>
    </r>
    <r>
      <rPr>
        <sz val="9"/>
        <color theme="1"/>
        <rFont val="Tenorite"/>
        <family val="2"/>
      </rPr>
      <t xml:space="preserve"> h</t>
    </r>
    <r>
      <rPr>
        <vertAlign val="superscript"/>
        <sz val="12"/>
        <color theme="1"/>
        <rFont val="Tenorite"/>
      </rPr>
      <t>-1</t>
    </r>
  </si>
  <si>
    <t>Temperatura LP</t>
  </si>
  <si>
    <t>°C</t>
  </si>
  <si>
    <t>Temperatura aceite clarificado</t>
  </si>
  <si>
    <t>Aceite clarificado</t>
  </si>
  <si>
    <r>
      <t>kg</t>
    </r>
    <r>
      <rPr>
        <vertAlign val="subscript"/>
        <sz val="12"/>
        <color theme="1"/>
        <rFont val="Tenorite"/>
      </rPr>
      <t>aceite</t>
    </r>
    <r>
      <rPr>
        <sz val="9"/>
        <color theme="1"/>
        <rFont val="Tenorite"/>
        <family val="2"/>
      </rPr>
      <t xml:space="preserve"> h</t>
    </r>
    <r>
      <rPr>
        <vertAlign val="superscript"/>
        <sz val="12"/>
        <color theme="1"/>
        <rFont val="Tenorite"/>
      </rPr>
      <t>-1</t>
    </r>
  </si>
  <si>
    <t>Vapor de clarificacion</t>
  </si>
  <si>
    <t>Lodos de clarificación</t>
  </si>
  <si>
    <r>
      <t>kg</t>
    </r>
    <r>
      <rPr>
        <vertAlign val="subscript"/>
        <sz val="12"/>
        <color theme="1"/>
        <rFont val="Tenorite"/>
      </rPr>
      <t>Lodos</t>
    </r>
    <r>
      <rPr>
        <sz val="9"/>
        <color theme="1"/>
        <rFont val="Tenorite"/>
        <family val="2"/>
      </rPr>
      <t xml:space="preserve"> h</t>
    </r>
    <r>
      <rPr>
        <vertAlign val="superscript"/>
        <sz val="12"/>
        <color theme="1"/>
        <rFont val="Tenorite"/>
      </rPr>
      <t>-1</t>
    </r>
  </si>
  <si>
    <t>Agua de recuperación</t>
  </si>
  <si>
    <t>Aceite recuperado</t>
  </si>
  <si>
    <t>Efluente</t>
  </si>
  <si>
    <r>
      <t>kg</t>
    </r>
    <r>
      <rPr>
        <vertAlign val="subscript"/>
        <sz val="12"/>
        <color theme="1"/>
        <rFont val="Tenorite"/>
      </rPr>
      <t>efluente</t>
    </r>
    <r>
      <rPr>
        <sz val="9"/>
        <color theme="1"/>
        <rFont val="Tenorite"/>
        <family val="2"/>
      </rPr>
      <t xml:space="preserve"> h</t>
    </r>
    <r>
      <rPr>
        <vertAlign val="superscript"/>
        <sz val="12"/>
        <color theme="1"/>
        <rFont val="Tenorite"/>
      </rPr>
      <t>-1</t>
    </r>
  </si>
  <si>
    <t>Vapor de almacenamiento</t>
  </si>
  <si>
    <t>Temperatura despacho</t>
  </si>
  <si>
    <t>Vapor de secado</t>
  </si>
  <si>
    <t>Flujo de aire de secado</t>
  </si>
  <si>
    <r>
      <t>kg</t>
    </r>
    <r>
      <rPr>
        <vertAlign val="subscript"/>
        <sz val="12"/>
        <color theme="1"/>
        <rFont val="Tenorite"/>
      </rPr>
      <t>aire seco</t>
    </r>
    <r>
      <rPr>
        <sz val="9"/>
        <color theme="1"/>
        <rFont val="Tenorite"/>
        <family val="2"/>
      </rPr>
      <t xml:space="preserve"> h</t>
    </r>
    <r>
      <rPr>
        <vertAlign val="superscript"/>
        <sz val="12"/>
        <color theme="1"/>
        <rFont val="Tenorite"/>
      </rPr>
      <t>-1</t>
    </r>
  </si>
  <si>
    <t>Temperatura aire de secado</t>
  </si>
  <si>
    <t>Humedad de secado</t>
  </si>
  <si>
    <r>
      <t>t</t>
    </r>
    <r>
      <rPr>
        <vertAlign val="subscript"/>
        <sz val="12"/>
        <color theme="1"/>
        <rFont val="Tenorite"/>
      </rPr>
      <t>Cuesco</t>
    </r>
    <r>
      <rPr>
        <sz val="9"/>
        <color theme="1"/>
        <rFont val="Tenorite"/>
        <family val="2"/>
      </rPr>
      <t xml:space="preserve"> año</t>
    </r>
    <r>
      <rPr>
        <vertAlign val="superscript"/>
        <sz val="12"/>
        <color theme="1"/>
        <rFont val="Tenorite"/>
      </rPr>
      <t>-1</t>
    </r>
  </si>
  <si>
    <t>Almendra</t>
  </si>
  <si>
    <r>
      <t>t</t>
    </r>
    <r>
      <rPr>
        <vertAlign val="subscript"/>
        <sz val="12"/>
        <color theme="1"/>
        <rFont val="Tenorite"/>
      </rPr>
      <t>Almendra</t>
    </r>
    <r>
      <rPr>
        <sz val="9"/>
        <color theme="1"/>
        <rFont val="Tenorite"/>
        <family val="2"/>
      </rPr>
      <t xml:space="preserve"> año</t>
    </r>
    <r>
      <rPr>
        <vertAlign val="superscript"/>
        <sz val="12"/>
        <color theme="1"/>
        <rFont val="Tenorite"/>
      </rPr>
      <t>-1</t>
    </r>
  </si>
  <si>
    <t>Agua de proceso</t>
  </si>
  <si>
    <r>
      <t>kg</t>
    </r>
    <r>
      <rPr>
        <vertAlign val="subscript"/>
        <sz val="12"/>
        <color theme="1"/>
        <rFont val="Tenorite"/>
      </rPr>
      <t>agua</t>
    </r>
    <r>
      <rPr>
        <sz val="9"/>
        <color theme="1"/>
        <rFont val="Tenorite"/>
        <family val="2"/>
      </rPr>
      <t xml:space="preserve"> año</t>
    </r>
    <r>
      <rPr>
        <vertAlign val="superscript"/>
        <sz val="12"/>
        <color theme="1"/>
        <rFont val="Tenorite"/>
      </rPr>
      <t>-1</t>
    </r>
  </si>
  <si>
    <t>Temperatura de calentamiento</t>
  </si>
  <si>
    <t>Vapor de calentamiento</t>
  </si>
  <si>
    <r>
      <t>kg</t>
    </r>
    <r>
      <rPr>
        <vertAlign val="subscript"/>
        <sz val="12"/>
        <color theme="1"/>
        <rFont val="Tenorite"/>
      </rPr>
      <t>vapor</t>
    </r>
    <r>
      <rPr>
        <sz val="9"/>
        <color theme="1"/>
        <rFont val="Tenorite"/>
        <family val="2"/>
      </rPr>
      <t xml:space="preserve"> año</t>
    </r>
    <r>
      <rPr>
        <vertAlign val="superscript"/>
        <sz val="12"/>
        <color theme="1"/>
        <rFont val="Tenorite"/>
      </rPr>
      <t>-1</t>
    </r>
  </si>
  <si>
    <t>Fibra en caldera</t>
  </si>
  <si>
    <t>Cuesco en caldera</t>
  </si>
  <si>
    <t>Flujo de vapor</t>
  </si>
  <si>
    <t>Presión de vapor</t>
  </si>
  <si>
    <t>bar</t>
  </si>
  <si>
    <t>Temperatura de vapor</t>
  </si>
  <si>
    <t>Temperatura agua de alimentación</t>
  </si>
  <si>
    <t>Planta A</t>
  </si>
  <si>
    <t>Planta B</t>
  </si>
  <si>
    <t>Planta C</t>
  </si>
  <si>
    <t>Planta D</t>
  </si>
  <si>
    <t>Planta E</t>
  </si>
  <si>
    <t>Planta F</t>
  </si>
  <si>
    <t>Racimo fruto fresco</t>
  </si>
  <si>
    <t>Calores especificos</t>
  </si>
  <si>
    <t>J kg k</t>
  </si>
  <si>
    <r>
      <t xml:space="preserve">Nyakuma, B. B., Johari, A., Ahmad, A., &amp; Abdullah, T. A. T. (2014). Comparative Analysis of the Calorific Fuel Properties of Empty Fruit Bunch Fiber and Briquette. </t>
    </r>
    <r>
      <rPr>
        <i/>
        <sz val="9"/>
        <color theme="1"/>
        <rFont val="Tenorite"/>
        <family val="2"/>
      </rPr>
      <t>Energy Procedia</t>
    </r>
    <r>
      <rPr>
        <sz val="9"/>
        <color theme="1"/>
        <rFont val="Tenorite"/>
        <family val="2"/>
      </rPr>
      <t xml:space="preserve">, </t>
    </r>
    <r>
      <rPr>
        <i/>
        <sz val="9"/>
        <color theme="1"/>
        <rFont val="Tenorite"/>
        <family val="2"/>
      </rPr>
      <t>52</t>
    </r>
    <r>
      <rPr>
        <sz val="9"/>
        <color theme="1"/>
        <rFont val="Tenorite"/>
        <family val="2"/>
      </rPr>
      <t>, 466–473. https://doi.org/10.1016/j.egypro.2014.07.099</t>
    </r>
  </si>
  <si>
    <t xml:space="preserve">Planta B </t>
  </si>
  <si>
    <t>RFF esterilizado</t>
  </si>
  <si>
    <t>Condensado esterilización</t>
  </si>
  <si>
    <t>Sólido</t>
  </si>
  <si>
    <t>Sólido/Fracción de aceite</t>
  </si>
  <si>
    <t>Vapor/Saturado</t>
  </si>
  <si>
    <t>Saturación</t>
  </si>
  <si>
    <t xml:space="preserve">Sólido </t>
  </si>
  <si>
    <t>Frutos sueltos</t>
  </si>
  <si>
    <t>Tusa Prensada</t>
  </si>
  <si>
    <t>Licor de tusa</t>
  </si>
  <si>
    <t>Hora</t>
  </si>
  <si>
    <t>Torta de prensado</t>
  </si>
  <si>
    <t>kg h</t>
  </si>
  <si>
    <t>Agua dilución</t>
  </si>
  <si>
    <t>Agua dilusión</t>
  </si>
  <si>
    <t>Humedad aceite clarificado</t>
  </si>
  <si>
    <t>Tequendama</t>
  </si>
  <si>
    <r>
      <t>t</t>
    </r>
    <r>
      <rPr>
        <vertAlign val="subscript"/>
        <sz val="9"/>
        <color rgb="FF000000"/>
        <rFont val="Tenorite"/>
      </rPr>
      <t>RFF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</si>
  <si>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r>
      <t>t</t>
    </r>
    <r>
      <rPr>
        <vertAlign val="subscript"/>
        <sz val="9"/>
        <color rgb="FF000000"/>
        <rFont val="Tenorite"/>
      </rPr>
      <t>RFF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año</t>
    </r>
    <r>
      <rPr>
        <vertAlign val="superscript"/>
        <sz val="9"/>
        <color rgb="FF000000"/>
        <rFont val="Tenorite"/>
      </rPr>
      <t>-1</t>
    </r>
  </si>
  <si>
    <r>
      <t>h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año</t>
    </r>
    <r>
      <rPr>
        <vertAlign val="superscript"/>
        <sz val="9"/>
        <color rgb="FF000000"/>
        <rFont val="Tenorite"/>
      </rPr>
      <t>-1</t>
    </r>
  </si>
  <si>
    <r>
      <t>% ACP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t</t>
    </r>
    <r>
      <rPr>
        <vertAlign val="subscript"/>
        <sz val="9"/>
        <color rgb="FF000000"/>
        <rFont val="Tenorite"/>
      </rPr>
      <t>RFF</t>
    </r>
    <r>
      <rPr>
        <vertAlign val="superscript"/>
        <sz val="9"/>
        <color rgb="FF000000"/>
        <rFont val="Tenorite"/>
      </rPr>
      <t>-1</t>
    </r>
  </si>
  <si>
    <r>
      <t>t</t>
    </r>
    <r>
      <rPr>
        <vertAlign val="subscript"/>
        <sz val="9"/>
        <color rgb="FF000000"/>
        <rFont val="Tenorite"/>
      </rPr>
      <t>ACP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año</t>
    </r>
    <r>
      <rPr>
        <vertAlign val="superscript"/>
        <sz val="9"/>
        <color rgb="FF000000"/>
        <rFont val="Tenorite"/>
      </rPr>
      <t>-1</t>
    </r>
  </si>
  <si>
    <r>
      <t>t</t>
    </r>
    <r>
      <rPr>
        <vertAlign val="subscript"/>
        <sz val="9"/>
        <color rgb="FF000000"/>
        <rFont val="Tenorite"/>
      </rPr>
      <t>PKO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año</t>
    </r>
    <r>
      <rPr>
        <vertAlign val="superscript"/>
        <sz val="9"/>
        <color rgb="FF000000"/>
        <rFont val="Tenorite"/>
      </rPr>
      <t>-1</t>
    </r>
  </si>
  <si>
    <r>
      <t>kg</t>
    </r>
    <r>
      <rPr>
        <vertAlign val="subscript"/>
        <sz val="9"/>
        <color rgb="FF000000"/>
        <rFont val="Tenorite"/>
      </rPr>
      <t>vapor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</si>
  <si>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r>
      <t>kg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t</t>
    </r>
    <r>
      <rPr>
        <vertAlign val="subscript"/>
        <sz val="9"/>
        <color rgb="FF000000"/>
        <rFont val="Tenorite"/>
      </rPr>
      <t>RFF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</si>
  <si>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t>Desfrutado</t>
  </si>
  <si>
    <t xml:space="preserve">Raquis vacío </t>
  </si>
  <si>
    <t>Humedad raquis</t>
  </si>
  <si>
    <r>
      <t>MPD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t</t>
    </r>
    <r>
      <rPr>
        <vertAlign val="subscript"/>
        <sz val="9"/>
        <color rgb="FF000000"/>
        <rFont val="Tenorite"/>
      </rPr>
      <t>RFF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</si>
  <si>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t>Digestión y prensado</t>
  </si>
  <si>
    <r>
      <t>kg</t>
    </r>
    <r>
      <rPr>
        <vertAlign val="subscript"/>
        <sz val="9"/>
        <color rgb="FF000000"/>
        <rFont val="Tenorite"/>
      </rPr>
      <t>LP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</si>
  <si>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t>Residuos orgánicos en LP</t>
  </si>
  <si>
    <r>
      <t>t</t>
    </r>
    <r>
      <rPr>
        <vertAlign val="subscript"/>
        <sz val="9"/>
        <color rgb="FF000000"/>
        <rFont val="Tenorite"/>
      </rPr>
      <t>Fibra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año</t>
    </r>
    <r>
      <rPr>
        <vertAlign val="superscript"/>
        <sz val="9"/>
        <color rgb="FF000000"/>
        <rFont val="Tenorite"/>
      </rPr>
      <t>-1</t>
    </r>
  </si>
  <si>
    <r>
      <t>t</t>
    </r>
    <r>
      <rPr>
        <vertAlign val="subscript"/>
        <sz val="9"/>
        <color rgb="FF000000"/>
        <rFont val="Tenorite"/>
      </rPr>
      <t>Nuez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año</t>
    </r>
    <r>
      <rPr>
        <vertAlign val="superscript"/>
        <sz val="9"/>
        <color rgb="FF000000"/>
        <rFont val="Tenorite"/>
      </rPr>
      <t>-1</t>
    </r>
  </si>
  <si>
    <t>Agua de dilución</t>
  </si>
  <si>
    <r>
      <t>kg</t>
    </r>
    <r>
      <rPr>
        <vertAlign val="subscript"/>
        <sz val="9"/>
        <color rgb="FF000000"/>
        <rFont val="Tenorite"/>
      </rPr>
      <t>agua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</si>
  <si>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r>
      <t>kg</t>
    </r>
    <r>
      <rPr>
        <vertAlign val="subscript"/>
        <sz val="9"/>
        <color rgb="FF000000"/>
        <rFont val="Tenorite"/>
      </rPr>
      <t>aceite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</si>
  <si>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r>
      <t>kg</t>
    </r>
    <r>
      <rPr>
        <vertAlign val="subscript"/>
        <sz val="9"/>
        <color rgb="FF000000"/>
        <rFont val="Tenorite"/>
      </rPr>
      <t>Lodos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</si>
  <si>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t>Recuperación de aceite</t>
  </si>
  <si>
    <r>
      <t>kg</t>
    </r>
    <r>
      <rPr>
        <vertAlign val="subscript"/>
        <sz val="9"/>
        <color rgb="FF000000"/>
        <rFont val="Tenorite"/>
      </rPr>
      <t>efluente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</si>
  <si>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t>Secado de nueces</t>
  </si>
  <si>
    <r>
      <t>kg</t>
    </r>
    <r>
      <rPr>
        <vertAlign val="subscript"/>
        <sz val="9"/>
        <color rgb="FF000000"/>
        <rFont val="Tenorite"/>
      </rPr>
      <t>aire seco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</si>
  <si>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t>Rotura de nuez</t>
  </si>
  <si>
    <r>
      <t>t</t>
    </r>
    <r>
      <rPr>
        <vertAlign val="subscript"/>
        <sz val="9"/>
        <color rgb="FF000000"/>
        <rFont val="Tenorite"/>
      </rPr>
      <t>Cuesco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año</t>
    </r>
    <r>
      <rPr>
        <vertAlign val="superscript"/>
        <sz val="9"/>
        <color rgb="FF000000"/>
        <rFont val="Tenorite"/>
      </rPr>
      <t>-1</t>
    </r>
  </si>
  <si>
    <r>
      <t>t</t>
    </r>
    <r>
      <rPr>
        <vertAlign val="subscript"/>
        <sz val="9"/>
        <color rgb="FF000000"/>
        <rFont val="Tenorite"/>
      </rPr>
      <t>Almendra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año</t>
    </r>
    <r>
      <rPr>
        <vertAlign val="superscript"/>
        <sz val="9"/>
        <color rgb="FF000000"/>
        <rFont val="Tenorite"/>
      </rPr>
      <t>-1</t>
    </r>
  </si>
  <si>
    <t>Calentamiento agua proceso</t>
  </si>
  <si>
    <r>
      <t>kg</t>
    </r>
    <r>
      <rPr>
        <vertAlign val="subscript"/>
        <sz val="9"/>
        <color rgb="FF000000"/>
        <rFont val="Tenorite"/>
      </rPr>
      <t>agua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año</t>
    </r>
    <r>
      <rPr>
        <vertAlign val="superscript"/>
        <sz val="9"/>
        <color rgb="FF000000"/>
        <rFont val="Tenorite"/>
      </rPr>
      <t>-1</t>
    </r>
  </si>
  <si>
    <r>
      <t>kg</t>
    </r>
    <r>
      <rPr>
        <vertAlign val="subscript"/>
        <sz val="9"/>
        <color rgb="FF000000"/>
        <rFont val="Tenorite"/>
      </rPr>
      <t>vapor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año</t>
    </r>
    <r>
      <rPr>
        <vertAlign val="superscript"/>
        <sz val="9"/>
        <color rgb="FF000000"/>
        <rFont val="Tenorite"/>
      </rPr>
      <t>-1</t>
    </r>
  </si>
  <si>
    <t>75 </t>
  </si>
  <si>
    <t>54 </t>
  </si>
  <si>
    <t>84 </t>
  </si>
  <si>
    <t>80 </t>
  </si>
  <si>
    <t> 85420</t>
  </si>
  <si>
    <t>78541 </t>
  </si>
  <si>
    <t> 3</t>
  </si>
  <si>
    <t>1.5</t>
  </si>
  <si>
    <t>2 </t>
  </si>
  <si>
    <t> 300</t>
  </si>
  <si>
    <t>180 </t>
  </si>
  <si>
    <t> 160</t>
  </si>
  <si>
    <t>Parametros</t>
  </si>
  <si>
    <t>Material</t>
  </si>
  <si>
    <t>Agua</t>
  </si>
  <si>
    <t>Aceite</t>
  </si>
  <si>
    <t>Fibra</t>
  </si>
  <si>
    <t>Tusa</t>
  </si>
  <si>
    <t>Lodo</t>
  </si>
  <si>
    <t>Peso</t>
  </si>
  <si>
    <t>Heat Capacity 
(kj kg K)</t>
  </si>
  <si>
    <t>Vapor evaporador</t>
  </si>
  <si>
    <t>Eficiencia energpetica</t>
  </si>
  <si>
    <t>Vapor</t>
  </si>
  <si>
    <t>Condensados</t>
  </si>
  <si>
    <t>Escenario 1</t>
  </si>
  <si>
    <t>Eficiencia global del sistema</t>
  </si>
  <si>
    <t>Escenario 2</t>
  </si>
  <si>
    <t>Linea base</t>
  </si>
  <si>
    <t xml:space="preserve">Padelma
</t>
  </si>
  <si>
    <t>Combustion</t>
  </si>
  <si>
    <t>Digestión anerobica</t>
  </si>
  <si>
    <t>LB</t>
  </si>
  <si>
    <t>ERI - 1</t>
  </si>
  <si>
    <t>ERI - 2</t>
  </si>
  <si>
    <t>Electricidad</t>
  </si>
  <si>
    <t>Area</t>
  </si>
  <si>
    <t>USD por kW instaldo</t>
  </si>
  <si>
    <t>USD por capacidad de procesamiento de RFF</t>
  </si>
  <si>
    <t>USD por tonelada de vapor instalada</t>
  </si>
  <si>
    <t>Esterilización convencional</t>
  </si>
  <si>
    <t>Extracción (digestión y prensado)</t>
  </si>
  <si>
    <t>Clarificación dinamica</t>
  </si>
  <si>
    <t>Clarificación estatica</t>
  </si>
  <si>
    <t>Caldera media presión</t>
  </si>
  <si>
    <t>USD por kW instalado</t>
  </si>
  <si>
    <t>USD por Kw instaldo</t>
  </si>
  <si>
    <t>Biodigestor y motor de combustión interna</t>
  </si>
  <si>
    <t>USD por tonelada vapor</t>
  </si>
  <si>
    <r>
      <t>kg</t>
    </r>
    <r>
      <rPr>
        <vertAlign val="subscript"/>
        <sz val="9"/>
        <color rgb="FF000000"/>
        <rFont val="Tenorite"/>
      </rPr>
      <t>vapor</t>
    </r>
    <r>
      <rPr>
        <sz val="9"/>
        <color rgb="FF000000"/>
        <rFont val="Calibri"/>
        <family val="2"/>
      </rPr>
      <t>∙tRFF</t>
    </r>
    <r>
      <rPr>
        <vertAlign val="superscript"/>
        <sz val="9"/>
        <color rgb="FF000000"/>
        <rFont val="Tenorite"/>
      </rPr>
      <t>-1</t>
    </r>
  </si>
  <si>
    <t>CP</t>
  </si>
  <si>
    <t>RFF</t>
  </si>
  <si>
    <t xml:space="preserve">Vapor teorico </t>
  </si>
  <si>
    <t>Temperatura inicial</t>
  </si>
  <si>
    <t>Temperatura final</t>
  </si>
  <si>
    <t xml:space="preserve">RFF </t>
  </si>
  <si>
    <t>RFF Este</t>
  </si>
  <si>
    <t>Fruto esterilizado</t>
  </si>
  <si>
    <r>
      <rPr>
        <vertAlign val="subscript"/>
        <sz val="9"/>
        <color rgb="FF000000"/>
        <rFont val="Tenorite"/>
      </rPr>
      <t>kg RFF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</si>
  <si>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t>Eficiencia energética</t>
  </si>
  <si>
    <t>Entalpia vapor salida esterilizacion</t>
  </si>
  <si>
    <t>Entalpia vapor entrada esterilizacion</t>
  </si>
  <si>
    <t>CP LP</t>
  </si>
  <si>
    <r>
      <t>kg (kJ K)</t>
    </r>
    <r>
      <rPr>
        <vertAlign val="superscript"/>
        <sz val="9"/>
        <color rgb="FF000000"/>
        <rFont val="Tenorite"/>
      </rPr>
      <t>-1</t>
    </r>
  </si>
  <si>
    <t>Porcentaje de fibra de mesocarpio</t>
  </si>
  <si>
    <r>
      <t xml:space="preserve">kg </t>
    </r>
    <r>
      <rPr>
        <vertAlign val="subscript"/>
        <sz val="9"/>
        <color rgb="FF000000"/>
        <rFont val="Tenorite"/>
      </rPr>
      <t>fibra</t>
    </r>
    <r>
      <rPr>
        <sz val="9"/>
        <color rgb="FF000000"/>
        <rFont val="Tenorite"/>
      </rPr>
      <t xml:space="preserve"> h</t>
    </r>
    <r>
      <rPr>
        <vertAlign val="superscript"/>
        <sz val="9"/>
        <color rgb="FF000000"/>
        <rFont val="Tenorite"/>
      </rPr>
      <t>-1</t>
    </r>
  </si>
  <si>
    <t>Cp fibra humeda</t>
  </si>
  <si>
    <r>
      <t xml:space="preserve">kg </t>
    </r>
    <r>
      <rPr>
        <vertAlign val="subscript"/>
        <sz val="9"/>
        <color rgb="FF000000"/>
        <rFont val="Tenorite"/>
      </rPr>
      <t>nueces</t>
    </r>
    <r>
      <rPr>
        <sz val="9"/>
        <color rgb="FF000000"/>
        <rFont val="Tenorite"/>
      </rPr>
      <t xml:space="preserve"> h</t>
    </r>
    <r>
      <rPr>
        <vertAlign val="superscript"/>
        <sz val="9"/>
        <color rgb="FF000000"/>
        <rFont val="Tenorite"/>
      </rPr>
      <t>-1</t>
    </r>
  </si>
  <si>
    <t>Fruto suelto</t>
  </si>
  <si>
    <t>Aceite seco</t>
  </si>
  <si>
    <t xml:space="preserve">Vapor  teorico </t>
  </si>
  <si>
    <t>Temperatura entrada</t>
  </si>
  <si>
    <t xml:space="preserve">Temperatura salida </t>
  </si>
  <si>
    <t>Nuces de palma</t>
  </si>
  <si>
    <t>Contenido de agua en nuez</t>
  </si>
  <si>
    <t>Plantas extractoras</t>
  </si>
  <si>
    <t>Proceso</t>
  </si>
  <si>
    <t>Eléctrica</t>
  </si>
  <si>
    <t>(kWe)</t>
  </si>
  <si>
    <t xml:space="preserve">térmica </t>
  </si>
  <si>
    <t>(kWth)</t>
  </si>
  <si>
    <t>Digestión prensado</t>
  </si>
  <si>
    <t>Extracción palmiste</t>
  </si>
  <si>
    <t>Calentamiento de agua</t>
  </si>
  <si>
    <t>Eficiencia global planta extractora</t>
  </si>
  <si>
    <t>Planta tratamiento agua</t>
  </si>
  <si>
    <t>Prensado raquis</t>
  </si>
  <si>
    <t>Ral</t>
  </si>
  <si>
    <t>APC</t>
  </si>
  <si>
    <t>GVA</t>
  </si>
  <si>
    <t>RAPC</t>
  </si>
  <si>
    <t>Perdídas</t>
  </si>
  <si>
    <t>PTA</t>
  </si>
  <si>
    <t>NO OP</t>
  </si>
  <si>
    <t>PTAR</t>
  </si>
  <si>
    <t>Digestion y prensado</t>
  </si>
  <si>
    <t>Pérdidas</t>
  </si>
  <si>
    <t>Prensado de raquiz</t>
  </si>
  <si>
    <t>No operaciónal</t>
  </si>
  <si>
    <t>Secado de almendra</t>
  </si>
  <si>
    <t>Recuperación de Almendra</t>
  </si>
  <si>
    <t xml:space="preserve">Recepción </t>
  </si>
  <si>
    <t>,</t>
  </si>
  <si>
    <r>
      <t>kWh</t>
    </r>
    <r>
      <rPr>
        <vertAlign val="subscript"/>
        <sz val="9"/>
        <color rgb="FF000000"/>
        <rFont val="Tenorite"/>
      </rPr>
      <t>thvapor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</si>
  <si>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t>kg/h</t>
  </si>
  <si>
    <t>agua+</t>
  </si>
  <si>
    <r>
      <t>kg</t>
    </r>
    <r>
      <rPr>
        <vertAlign val="subscript"/>
        <sz val="9"/>
        <color rgb="FF000000"/>
        <rFont val="Tenorite"/>
      </rPr>
      <t>vapor</t>
    </r>
    <r>
      <rPr>
        <sz val="9"/>
        <color rgb="FF000000"/>
        <rFont val="Calibri"/>
        <family val="2"/>
      </rPr>
      <t>∙h</t>
    </r>
    <r>
      <rPr>
        <vertAlign val="superscript"/>
        <sz val="9"/>
        <color rgb="FF000000"/>
        <rFont val="Tenorite"/>
      </rPr>
      <t>-1</t>
    </r>
  </si>
  <si>
    <t>Energía Cuesco</t>
  </si>
  <si>
    <t>Energía Fibra</t>
  </si>
  <si>
    <t>Eficiencia térmica</t>
  </si>
  <si>
    <r>
      <t xml:space="preserve">ΔH </t>
    </r>
    <r>
      <rPr>
        <vertAlign val="subscript"/>
        <sz val="9"/>
        <color theme="1"/>
        <rFont val="Calibri"/>
        <family val="2"/>
      </rPr>
      <t>ACP</t>
    </r>
  </si>
  <si>
    <r>
      <t xml:space="preserve">ΔH </t>
    </r>
    <r>
      <rPr>
        <vertAlign val="subscript"/>
        <sz val="9"/>
        <color theme="1"/>
        <rFont val="Calibri"/>
        <family val="2"/>
      </rPr>
      <t>Palmiste</t>
    </r>
  </si>
  <si>
    <r>
      <t xml:space="preserve">ΔH </t>
    </r>
    <r>
      <rPr>
        <vertAlign val="subscript"/>
        <sz val="9"/>
        <color theme="1"/>
        <rFont val="Calibri"/>
        <family val="2"/>
      </rPr>
      <t>APL</t>
    </r>
  </si>
  <si>
    <r>
      <t xml:space="preserve">ΔH </t>
    </r>
    <r>
      <rPr>
        <vertAlign val="subscript"/>
        <sz val="9"/>
        <color theme="1"/>
        <rFont val="Calibri"/>
        <family val="2"/>
      </rPr>
      <t>Cuesco</t>
    </r>
  </si>
  <si>
    <r>
      <t xml:space="preserve">ΔH </t>
    </r>
    <r>
      <rPr>
        <vertAlign val="subscript"/>
        <sz val="9"/>
        <color theme="1"/>
        <rFont val="Calibri"/>
        <family val="2"/>
      </rPr>
      <t>Fibra</t>
    </r>
  </si>
  <si>
    <r>
      <t xml:space="preserve">ΔH </t>
    </r>
    <r>
      <rPr>
        <vertAlign val="subscript"/>
        <sz val="9"/>
        <color theme="1"/>
        <rFont val="Calibri"/>
        <family val="2"/>
      </rPr>
      <t>Tusa</t>
    </r>
  </si>
  <si>
    <r>
      <t xml:space="preserve">ΔH </t>
    </r>
    <r>
      <rPr>
        <vertAlign val="subscript"/>
        <sz val="9"/>
        <color theme="1"/>
        <rFont val="Calibri"/>
        <family val="2"/>
      </rPr>
      <t>POME</t>
    </r>
  </si>
  <si>
    <t>Temperatura Final</t>
  </si>
  <si>
    <t>Temperatura Incial</t>
  </si>
  <si>
    <r>
      <t xml:space="preserve">ΔH </t>
    </r>
    <r>
      <rPr>
        <vertAlign val="subscript"/>
        <sz val="9"/>
        <color theme="1"/>
        <rFont val="Calibri"/>
        <family val="2"/>
      </rPr>
      <t>RFF</t>
    </r>
  </si>
  <si>
    <r>
      <t xml:space="preserve">ΔH </t>
    </r>
    <r>
      <rPr>
        <vertAlign val="subscript"/>
        <sz val="9"/>
        <color theme="1"/>
        <rFont val="Calibri"/>
        <family val="2"/>
      </rPr>
      <t>H2O</t>
    </r>
  </si>
  <si>
    <t>Qprod</t>
  </si>
  <si>
    <r>
      <t xml:space="preserve">Q </t>
    </r>
    <r>
      <rPr>
        <vertAlign val="subscript"/>
        <sz val="9"/>
        <color theme="1"/>
        <rFont val="Calibri"/>
        <family val="2"/>
      </rPr>
      <t>ACP</t>
    </r>
  </si>
  <si>
    <r>
      <t xml:space="preserve">Q </t>
    </r>
    <r>
      <rPr>
        <vertAlign val="subscript"/>
        <sz val="9"/>
        <color theme="1"/>
        <rFont val="Calibri"/>
        <family val="2"/>
      </rPr>
      <t>Palmiste</t>
    </r>
  </si>
  <si>
    <r>
      <t xml:space="preserve">Q </t>
    </r>
    <r>
      <rPr>
        <vertAlign val="subscript"/>
        <sz val="9"/>
        <color theme="1"/>
        <rFont val="Calibri"/>
        <family val="2"/>
      </rPr>
      <t>Cuesco</t>
    </r>
  </si>
  <si>
    <r>
      <t xml:space="preserve">Q </t>
    </r>
    <r>
      <rPr>
        <vertAlign val="subscript"/>
        <sz val="9"/>
        <color theme="1"/>
        <rFont val="Calibri"/>
        <family val="2"/>
      </rPr>
      <t>Fibra</t>
    </r>
  </si>
  <si>
    <r>
      <t xml:space="preserve">Q </t>
    </r>
    <r>
      <rPr>
        <vertAlign val="subscript"/>
        <sz val="9"/>
        <color theme="1"/>
        <rFont val="Calibri"/>
        <family val="2"/>
      </rPr>
      <t>Tusa</t>
    </r>
  </si>
  <si>
    <r>
      <t xml:space="preserve">Q </t>
    </r>
    <r>
      <rPr>
        <vertAlign val="subscript"/>
        <sz val="9"/>
        <color theme="1"/>
        <rFont val="Calibri"/>
        <family val="2"/>
      </rPr>
      <t>POME</t>
    </r>
  </si>
  <si>
    <r>
      <t xml:space="preserve">Q </t>
    </r>
    <r>
      <rPr>
        <vertAlign val="subscript"/>
        <sz val="9"/>
        <color theme="1"/>
        <rFont val="Calibri"/>
        <family val="2"/>
      </rPr>
      <t>RFF</t>
    </r>
  </si>
  <si>
    <r>
      <t xml:space="preserve">Q </t>
    </r>
    <r>
      <rPr>
        <vertAlign val="subscript"/>
        <sz val="9"/>
        <color theme="1"/>
        <rFont val="Calibri"/>
        <family val="2"/>
      </rPr>
      <t>Agua</t>
    </r>
  </si>
  <si>
    <r>
      <t>kg</t>
    </r>
    <r>
      <rPr>
        <vertAlign val="subscript"/>
        <sz val="9"/>
        <color rgb="FF000000"/>
        <rFont val="Tenorite"/>
      </rPr>
      <t>agua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kg RFF</t>
    </r>
    <r>
      <rPr>
        <vertAlign val="superscript"/>
        <sz val="9"/>
        <color rgb="FF000000"/>
        <rFont val="Tenorite"/>
      </rPr>
      <t>-1</t>
    </r>
  </si>
  <si>
    <r>
      <t xml:space="preserve">kW </t>
    </r>
    <r>
      <rPr>
        <vertAlign val="subscript"/>
        <sz val="9"/>
        <color theme="1"/>
        <rFont val="Calibri"/>
        <family val="2"/>
      </rPr>
      <t>Proceso</t>
    </r>
  </si>
  <si>
    <r>
      <rPr>
        <sz val="9"/>
        <color theme="1"/>
        <rFont val="Calibri"/>
        <family val="2"/>
      </rPr>
      <t>η</t>
    </r>
    <r>
      <rPr>
        <sz val="7.65"/>
        <color theme="1"/>
        <rFont val="Tenorite"/>
        <family val="2"/>
      </rPr>
      <t xml:space="preserve"> </t>
    </r>
    <r>
      <rPr>
        <vertAlign val="subscript"/>
        <sz val="9"/>
        <color theme="1"/>
        <rFont val="Tenorite"/>
      </rPr>
      <t>Proceso</t>
    </r>
  </si>
  <si>
    <r>
      <t xml:space="preserve">ΔH </t>
    </r>
    <r>
      <rPr>
        <vertAlign val="subscript"/>
        <sz val="9"/>
        <color theme="1"/>
        <rFont val="Calibri"/>
        <family val="2"/>
      </rPr>
      <t>Nuez</t>
    </r>
  </si>
  <si>
    <r>
      <t xml:space="preserve">ΔH </t>
    </r>
    <r>
      <rPr>
        <vertAlign val="subscript"/>
        <sz val="9"/>
        <color theme="1"/>
        <rFont val="Calibri"/>
        <family val="2"/>
      </rPr>
      <t>Nuez</t>
    </r>
    <r>
      <rPr>
        <sz val="9"/>
        <color theme="1"/>
        <rFont val="Calibri"/>
        <family val="2"/>
      </rPr>
      <t>_s</t>
    </r>
  </si>
  <si>
    <r>
      <t xml:space="preserve">ΔH </t>
    </r>
    <r>
      <rPr>
        <vertAlign val="subscript"/>
        <sz val="9"/>
        <color theme="1"/>
        <rFont val="Calibri"/>
        <family val="2"/>
      </rPr>
      <t>Aire</t>
    </r>
    <r>
      <rPr>
        <sz val="9"/>
        <color theme="1"/>
        <rFont val="Calibri"/>
        <family val="2"/>
      </rPr>
      <t>_2</t>
    </r>
  </si>
  <si>
    <r>
      <t xml:space="preserve">ΔH </t>
    </r>
    <r>
      <rPr>
        <vertAlign val="subscript"/>
        <sz val="9"/>
        <color theme="1"/>
        <rFont val="Calibri"/>
        <family val="2"/>
      </rPr>
      <t>Aire_1</t>
    </r>
  </si>
  <si>
    <r>
      <t xml:space="preserve">T </t>
    </r>
    <r>
      <rPr>
        <vertAlign val="subscript"/>
        <sz val="9"/>
        <color theme="1"/>
        <rFont val="Calibri"/>
        <family val="2"/>
      </rPr>
      <t>Nuez</t>
    </r>
  </si>
  <si>
    <r>
      <t xml:space="preserve">T </t>
    </r>
    <r>
      <rPr>
        <vertAlign val="subscript"/>
        <sz val="9"/>
        <color theme="1"/>
        <rFont val="Calibri"/>
        <family val="2"/>
      </rPr>
      <t>aire_sal</t>
    </r>
  </si>
  <si>
    <r>
      <t xml:space="preserve">T </t>
    </r>
    <r>
      <rPr>
        <vertAlign val="subscript"/>
        <sz val="9"/>
        <color theme="1"/>
        <rFont val="Calibri"/>
        <family val="2"/>
      </rPr>
      <t>Aire</t>
    </r>
    <r>
      <rPr>
        <sz val="9"/>
        <color theme="1"/>
        <rFont val="Calibri"/>
        <family val="2"/>
      </rPr>
      <t>_amb</t>
    </r>
  </si>
  <si>
    <t>Agua removida</t>
  </si>
  <si>
    <t>m Aire Seco</t>
  </si>
  <si>
    <t>m agua amb</t>
  </si>
  <si>
    <t>m aire agua salida</t>
  </si>
  <si>
    <r>
      <t xml:space="preserve">Q </t>
    </r>
    <r>
      <rPr>
        <vertAlign val="subscript"/>
        <sz val="9"/>
        <color theme="1"/>
        <rFont val="Calibri"/>
        <family val="2"/>
      </rPr>
      <t>teorico</t>
    </r>
  </si>
  <si>
    <t>Aire evap</t>
  </si>
  <si>
    <t>Nuez seca</t>
  </si>
  <si>
    <t>m vapor teorico</t>
  </si>
  <si>
    <r>
      <t>kg RFF</t>
    </r>
    <r>
      <rPr>
        <sz val="9"/>
        <color rgb="FF000000"/>
        <rFont val="Calibri"/>
        <family val="2"/>
      </rPr>
      <t>∙</t>
    </r>
    <r>
      <rPr>
        <sz val="9"/>
        <color rgb="FF000000"/>
        <rFont val="Tenorite"/>
      </rPr>
      <t>h</t>
    </r>
    <r>
      <rPr>
        <vertAlign val="superscript"/>
        <sz val="9"/>
        <color rgb="FF000000"/>
        <rFont val="Tenorite"/>
      </rPr>
      <t>-1</t>
    </r>
  </si>
  <si>
    <t xml:space="preserve"> Q kWth </t>
  </si>
  <si>
    <t xml:space="preserve">Vapor teórico </t>
  </si>
  <si>
    <r>
      <t>kW</t>
    </r>
    <r>
      <rPr>
        <vertAlign val="subscript"/>
        <sz val="9"/>
        <color rgb="FF000000"/>
        <rFont val="Tenorite"/>
      </rPr>
      <t>th</t>
    </r>
  </si>
  <si>
    <t>Energía combustible</t>
  </si>
  <si>
    <r>
      <t>kWth h</t>
    </r>
    <r>
      <rPr>
        <vertAlign val="superscript"/>
        <sz val="9"/>
        <color rgb="FF000000"/>
        <rFont val="Tenorite"/>
      </rPr>
      <t>-1</t>
    </r>
  </si>
  <si>
    <t>Consumo de agua</t>
  </si>
  <si>
    <r>
      <t>kg tRFF</t>
    </r>
    <r>
      <rPr>
        <vertAlign val="superscript"/>
        <sz val="9"/>
        <color rgb="FF000000"/>
        <rFont val="Tenorite"/>
      </rPr>
      <t>-1</t>
    </r>
  </si>
  <si>
    <r>
      <t xml:space="preserve">T </t>
    </r>
    <r>
      <rPr>
        <vertAlign val="subscript"/>
        <sz val="9"/>
        <color rgb="FF000000"/>
        <rFont val="Tenorite"/>
      </rPr>
      <t>Ent_agua</t>
    </r>
  </si>
  <si>
    <r>
      <t xml:space="preserve">T </t>
    </r>
    <r>
      <rPr>
        <vertAlign val="subscript"/>
        <sz val="9"/>
        <color rgb="FF000000"/>
        <rFont val="Tenorite"/>
      </rPr>
      <t>vapor</t>
    </r>
  </si>
  <si>
    <t>Kj kg</t>
  </si>
  <si>
    <t>Entalpia Vapor</t>
  </si>
  <si>
    <t>Entalpia Agua</t>
  </si>
  <si>
    <t>Biomasa</t>
  </si>
  <si>
    <t>Biogás</t>
  </si>
  <si>
    <t xml:space="preserve">Red nacional </t>
  </si>
  <si>
    <t>Diésel</t>
  </si>
  <si>
    <t>Oleoflores S.A.</t>
  </si>
  <si>
    <t>Aceites S.A.</t>
  </si>
  <si>
    <t>Palmaceite S.A.</t>
  </si>
  <si>
    <t xml:space="preserve">El Roble </t>
  </si>
  <si>
    <t>Frupalma S.A.</t>
  </si>
  <si>
    <t>Maria La Baja</t>
  </si>
  <si>
    <t>Palmeras de la Costa</t>
  </si>
  <si>
    <t>Gal year</t>
  </si>
  <si>
    <t>kg year</t>
  </si>
  <si>
    <t>E diesel</t>
  </si>
  <si>
    <t>Consumo electricidad</t>
  </si>
  <si>
    <t>Eficiencia diesel</t>
  </si>
  <si>
    <t>Eficiencia cogeneración</t>
  </si>
  <si>
    <t>Eficiencia biogás</t>
  </si>
  <si>
    <t>Energía térmica consumida</t>
  </si>
  <si>
    <t>kWth</t>
  </si>
  <si>
    <t>ACP palmiste</t>
  </si>
  <si>
    <t>Torta Palmiste</t>
  </si>
  <si>
    <t>ΔH Torta Palmiste</t>
  </si>
  <si>
    <r>
      <t xml:space="preserve">Q </t>
    </r>
    <r>
      <rPr>
        <vertAlign val="subscript"/>
        <sz val="9"/>
        <color theme="1"/>
        <rFont val="Calibri"/>
        <family val="2"/>
      </rPr>
      <t>APL</t>
    </r>
  </si>
  <si>
    <r>
      <t xml:space="preserve">Q </t>
    </r>
    <r>
      <rPr>
        <vertAlign val="subscript"/>
        <sz val="9"/>
        <color theme="1"/>
        <rFont val="Calibri"/>
        <family val="2"/>
      </rPr>
      <t>torta palmiste</t>
    </r>
  </si>
  <si>
    <r>
      <rPr>
        <sz val="9"/>
        <color theme="1"/>
        <rFont val="Calibri"/>
        <family val="2"/>
      </rPr>
      <t>η</t>
    </r>
    <r>
      <rPr>
        <sz val="7.65"/>
        <color theme="1"/>
        <rFont val="Tenorite"/>
        <family val="2"/>
      </rPr>
      <t xml:space="preserve"> </t>
    </r>
    <r>
      <rPr>
        <vertAlign val="subscript"/>
        <sz val="9"/>
        <color theme="1"/>
        <rFont val="Tenorite"/>
      </rPr>
      <t xml:space="preserve">Global </t>
    </r>
  </si>
  <si>
    <t>Electrica</t>
  </si>
  <si>
    <r>
      <rPr>
        <sz val="11"/>
        <color theme="1"/>
        <rFont val="Calibri"/>
        <family val="2"/>
      </rPr>
      <t>η</t>
    </r>
    <r>
      <rPr>
        <sz val="11"/>
        <color theme="1"/>
        <rFont val="Tenorite"/>
        <family val="2"/>
      </rPr>
      <t xml:space="preserve"> </t>
    </r>
    <r>
      <rPr>
        <vertAlign val="subscript"/>
        <sz val="11"/>
        <color theme="1"/>
        <rFont val="Tenorite"/>
      </rPr>
      <t>diésel</t>
    </r>
  </si>
  <si>
    <r>
      <rPr>
        <sz val="11"/>
        <color theme="1"/>
        <rFont val="Calibri"/>
        <family val="2"/>
      </rPr>
      <t>η</t>
    </r>
    <r>
      <rPr>
        <sz val="11"/>
        <color theme="1"/>
        <rFont val="Tenorite"/>
        <family val="2"/>
      </rPr>
      <t xml:space="preserve"> </t>
    </r>
    <r>
      <rPr>
        <vertAlign val="subscript"/>
        <sz val="11"/>
        <color theme="1"/>
        <rFont val="Tenorite"/>
      </rPr>
      <t>cogeneración</t>
    </r>
  </si>
  <si>
    <r>
      <rPr>
        <sz val="11"/>
        <color theme="1"/>
        <rFont val="Calibri"/>
        <family val="2"/>
      </rPr>
      <t>η</t>
    </r>
    <r>
      <rPr>
        <sz val="11"/>
        <color theme="1"/>
        <rFont val="Tenorite"/>
        <family val="2"/>
      </rPr>
      <t xml:space="preserve"> </t>
    </r>
    <r>
      <rPr>
        <vertAlign val="subscript"/>
        <sz val="11"/>
        <color theme="1"/>
        <rFont val="Tenorite"/>
      </rPr>
      <t>biogás</t>
    </r>
  </si>
  <si>
    <r>
      <rPr>
        <sz val="9"/>
        <color theme="1"/>
        <rFont val="Calibri"/>
        <family val="2"/>
      </rPr>
      <t>η</t>
    </r>
    <r>
      <rPr>
        <sz val="7.65"/>
        <color theme="1"/>
        <rFont val="Tenorite"/>
        <family val="2"/>
      </rPr>
      <t xml:space="preserve"> </t>
    </r>
    <r>
      <rPr>
        <vertAlign val="subscript"/>
        <sz val="9"/>
        <color theme="1"/>
        <rFont val="Tenorite"/>
      </rPr>
      <t xml:space="preserve"> Caldera</t>
    </r>
  </si>
  <si>
    <t>Térmica</t>
  </si>
  <si>
    <t>Demanda energética</t>
  </si>
  <si>
    <t>Demanda tèrmica proceso LB</t>
  </si>
  <si>
    <r>
      <t>kWh</t>
    </r>
    <r>
      <rPr>
        <i/>
        <vertAlign val="subscript"/>
        <sz val="9"/>
        <color rgb="FF000000"/>
        <rFont val="Tenorite"/>
      </rPr>
      <t>th</t>
    </r>
    <r>
      <rPr>
        <i/>
        <sz val="9"/>
        <color rgb="FF000000"/>
        <rFont val="Tenorite"/>
      </rPr>
      <t xml:space="preserve"> h</t>
    </r>
    <r>
      <rPr>
        <i/>
        <vertAlign val="superscript"/>
        <sz val="9"/>
        <color rgb="FF000000"/>
        <rFont val="Tenorite"/>
      </rPr>
      <t>-1</t>
    </r>
  </si>
  <si>
    <r>
      <t>kWh</t>
    </r>
    <r>
      <rPr>
        <i/>
        <vertAlign val="subscript"/>
        <sz val="9"/>
        <color rgb="FF000000"/>
        <rFont val="Tenorite"/>
      </rPr>
      <t>e</t>
    </r>
    <r>
      <rPr>
        <i/>
        <sz val="9"/>
        <color rgb="FF000000"/>
        <rFont val="Tenorite"/>
      </rPr>
      <t xml:space="preserve"> h</t>
    </r>
    <r>
      <rPr>
        <i/>
        <vertAlign val="superscript"/>
        <sz val="9"/>
        <color rgb="FF000000"/>
        <rFont val="Tenorite"/>
      </rPr>
      <t>-1</t>
    </r>
  </si>
  <si>
    <t>Consumo electricidad esterilizaciòn convencional</t>
  </si>
  <si>
    <t>Consumo vapor esterilizaciòn convencional</t>
  </si>
  <si>
    <t>Demanda tèrmica proceso</t>
  </si>
  <si>
    <t>Demanda elèctrica proceso</t>
  </si>
  <si>
    <r>
      <t>kg h</t>
    </r>
    <r>
      <rPr>
        <vertAlign val="superscript"/>
        <sz val="9"/>
        <color rgb="FF000000"/>
        <rFont val="Tenorite"/>
      </rPr>
      <t>-1</t>
    </r>
  </si>
  <si>
    <t xml:space="preserve">Demanda tèrmica pretratamiento </t>
  </si>
  <si>
    <t>Demanda electrica pretratamiento</t>
  </si>
  <si>
    <t>Potencial energètico cuesco</t>
  </si>
  <si>
    <t>Potencial energètico Tusa</t>
  </si>
  <si>
    <t>Potencial energètico Fibra</t>
  </si>
  <si>
    <t>Energìa vapor</t>
  </si>
  <si>
    <t>Masa vapor</t>
  </si>
  <si>
    <t>Masa vapor extracciòn</t>
  </si>
  <si>
    <t>W gross turbina</t>
  </si>
  <si>
    <t>W neto turbina</t>
  </si>
  <si>
    <t>mg L-1</t>
  </si>
  <si>
    <r>
      <t>L h</t>
    </r>
    <r>
      <rPr>
        <vertAlign val="superscript"/>
        <sz val="9"/>
        <color rgb="FF000000"/>
        <rFont val="Tenorite"/>
      </rPr>
      <t>-1</t>
    </r>
  </si>
  <si>
    <t>DQO entrada</t>
  </si>
  <si>
    <r>
      <t>m</t>
    </r>
    <r>
      <rPr>
        <vertAlign val="superscript"/>
        <sz val="9"/>
        <color rgb="FF000000"/>
        <rFont val="Tenorite"/>
      </rPr>
      <t>3</t>
    </r>
    <r>
      <rPr>
        <sz val="9"/>
        <color rgb="FF000000"/>
        <rFont val="Tenorite"/>
      </rPr>
      <t xml:space="preserve"> h</t>
    </r>
    <r>
      <rPr>
        <vertAlign val="superscript"/>
        <sz val="9"/>
        <color rgb="FF000000"/>
        <rFont val="Tenorite"/>
      </rPr>
      <t>-1</t>
    </r>
  </si>
  <si>
    <t>Potencial de generaciòn de metano</t>
  </si>
  <si>
    <t>Potencial energètico metano</t>
  </si>
  <si>
    <r>
      <t>kWh</t>
    </r>
    <r>
      <rPr>
        <vertAlign val="subscript"/>
        <sz val="9"/>
        <color rgb="FF000000"/>
        <rFont val="Tenorite"/>
      </rPr>
      <t>th</t>
    </r>
  </si>
  <si>
    <t>W gross generador</t>
  </si>
  <si>
    <t>W neto generador</t>
  </si>
  <si>
    <t>Excedentes electricidad EA1</t>
  </si>
  <si>
    <t>Agua proceso</t>
  </si>
  <si>
    <r>
      <t>kg h</t>
    </r>
    <r>
      <rPr>
        <i/>
        <vertAlign val="superscript"/>
        <sz val="9"/>
        <color rgb="FF000000"/>
        <rFont val="Tenorite"/>
      </rPr>
      <t>-1</t>
    </r>
  </si>
  <si>
    <t>Q Agua</t>
  </si>
  <si>
    <t>Q RFF</t>
  </si>
  <si>
    <t>Digestiòn anerobica</t>
  </si>
  <si>
    <t>Masa vapor proceso</t>
  </si>
  <si>
    <t>Potencial metano Tusa</t>
  </si>
  <si>
    <t>Excedentes electricidad EA2</t>
  </si>
  <si>
    <t>Masa co-digestada</t>
  </si>
  <si>
    <t>Lodos</t>
  </si>
  <si>
    <t>Efluentes</t>
  </si>
  <si>
    <t>Excedentes</t>
  </si>
  <si>
    <t>Ef proceso</t>
  </si>
  <si>
    <r>
      <rPr>
        <sz val="9"/>
        <color rgb="FF000000"/>
        <rFont val="Calibri"/>
        <family val="2"/>
      </rPr>
      <t>η</t>
    </r>
    <r>
      <rPr>
        <i/>
        <sz val="3.6"/>
        <color rgb="FF000000"/>
        <rFont val="Tenorite"/>
      </rPr>
      <t xml:space="preserve"> Proceso</t>
    </r>
  </si>
  <si>
    <t>Iexc</t>
  </si>
  <si>
    <t>η Proceso</t>
  </si>
  <si>
    <t>Solido</t>
  </si>
  <si>
    <t>Agua escenario</t>
  </si>
  <si>
    <t>Palm Oil Mill</t>
  </si>
  <si>
    <t>Operation hours
(h)</t>
  </si>
  <si>
    <t>Production 
(t/RFF)</t>
  </si>
  <si>
    <t>Cogen 
(kW)</t>
  </si>
  <si>
    <t>Biogas 
(kW)</t>
  </si>
  <si>
    <t>National Grid 
(kW)</t>
  </si>
  <si>
    <t>Diesel 
(kW)</t>
  </si>
  <si>
    <t>Power Demand (kW)</t>
  </si>
  <si>
    <t>Cogen
 (MWh/y)</t>
  </si>
  <si>
    <t>Biogas 
(MWh/y)</t>
  </si>
  <si>
    <t>Grid</t>
  </si>
  <si>
    <t>CPO (t/h)</t>
  </si>
  <si>
    <t>CO2</t>
  </si>
  <si>
    <t>CH4</t>
  </si>
  <si>
    <t>N2O</t>
  </si>
  <si>
    <t>Diesel (TJ)</t>
  </si>
  <si>
    <t>Combustión</t>
  </si>
  <si>
    <t>gCO2/kWh</t>
  </si>
  <si>
    <t xml:space="preserve">Cogen </t>
  </si>
  <si>
    <t>Electricity consumption 
(kWh/y)</t>
  </si>
  <si>
    <t>kgCO2/kWh</t>
  </si>
  <si>
    <t>Diesel (kWh)</t>
  </si>
  <si>
    <t>Biogas (TJ)</t>
  </si>
  <si>
    <t>SIN</t>
  </si>
  <si>
    <t>COGEN</t>
  </si>
  <si>
    <t>diesel</t>
  </si>
  <si>
    <t>Emisiones especificas</t>
  </si>
  <si>
    <t xml:space="preserve">Biomasa energía </t>
  </si>
  <si>
    <t xml:space="preserve">Energía biomasa (kWH hora-1 </t>
  </si>
  <si>
    <t>Energía Combustion (TJ)</t>
  </si>
  <si>
    <t>Energía Biogas (TJ)</t>
  </si>
  <si>
    <t>Energía Biogas (kWh h-1)</t>
  </si>
  <si>
    <t>STOCK (kg CO2 t RFF)</t>
  </si>
  <si>
    <t>kg CO2</t>
  </si>
  <si>
    <t>KgCO2</t>
  </si>
  <si>
    <t>kWh e</t>
  </si>
  <si>
    <t>kWh CPO</t>
  </si>
  <si>
    <t>Social</t>
  </si>
  <si>
    <t>Rural</t>
  </si>
  <si>
    <t>Urbano</t>
  </si>
  <si>
    <t>kWh-per capita</t>
  </si>
  <si>
    <t>Magdalena 2025</t>
  </si>
  <si>
    <t xml:space="preserve">Urbano </t>
  </si>
  <si>
    <t>Demanda residencial</t>
  </si>
  <si>
    <t>gWh año</t>
  </si>
  <si>
    <t>Distribuciòn residencial</t>
  </si>
  <si>
    <t>Excdentes</t>
  </si>
  <si>
    <t>GWh -año</t>
  </si>
  <si>
    <t>ERI -1</t>
  </si>
  <si>
    <t>ERI -2</t>
  </si>
  <si>
    <t>Residencia Rural</t>
  </si>
  <si>
    <t>Demanda residencial rural Departamento Magdalena</t>
  </si>
  <si>
    <t>Urbana</t>
  </si>
  <si>
    <t>Departamental</t>
  </si>
  <si>
    <t>Industrial y comercio</t>
  </si>
  <si>
    <t>Demana electrica</t>
  </si>
  <si>
    <t>Escenarios estudiados</t>
  </si>
  <si>
    <t>Residencial Urbana</t>
  </si>
  <si>
    <t>Total departamento</t>
  </si>
  <si>
    <t>Residencial
 Rural</t>
  </si>
  <si>
    <t>Demanda energètica 
Departamento Magdalena (2025)</t>
  </si>
  <si>
    <t>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</si>
</sst>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0.0%"/>
    <numFmt numFmtId="166" formatCode="_-&quot;$&quot;\ * #,##0_-;\-&quot;$&quot;\ * #,##0_-;_-&quot;$&quot;\ * &quot;-&quot;??_-;_-@_-"/>
    <numFmt numFmtId="167" formatCode="_-* #,##0_-;\-* #,##0_-;_-* &quot;-&quot;??_-;_-@_-"/>
    <numFmt numFmtId="168" formatCode="0.000"/>
    <numFmt numFmtId="169" formatCode="&quot;$&quot;\ #,##0"/>
  </numFmts>
  <fonts count="50" x14ac:knownFonts="1">
    <font>
      <sz val="9"/>
      <color theme="1"/>
      <name val="Tenorite"/>
      <family val="2"/>
    </font>
    <font>
      <sz val="9"/>
      <color theme="1"/>
      <name val="Tenorite"/>
      <family val="2"/>
    </font>
    <font>
      <vertAlign val="superscript"/>
      <sz val="9"/>
      <color theme="1"/>
      <name val="Tenorite"/>
    </font>
    <font>
      <sz val="8"/>
      <name val="Tenorite"/>
      <family val="2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Tenorite"/>
    </font>
    <font>
      <b/>
      <sz val="9"/>
      <color indexed="8"/>
      <name val="Tenorite"/>
    </font>
    <font>
      <sz val="9"/>
      <color indexed="8"/>
      <name val="Tenorite"/>
    </font>
    <font>
      <b/>
      <sz val="11"/>
      <color rgb="FFFA7D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Tenorite"/>
    </font>
    <font>
      <b/>
      <sz val="11"/>
      <color theme="1"/>
      <name val="Tenorite"/>
    </font>
    <font>
      <b/>
      <sz val="9"/>
      <color theme="1"/>
      <name val="Tenorite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enorite"/>
    </font>
    <font>
      <sz val="12"/>
      <name val="Tenorite"/>
    </font>
    <font>
      <sz val="8"/>
      <color theme="1"/>
      <name val="Tenorite"/>
      <family val="2"/>
    </font>
    <font>
      <b/>
      <sz val="12"/>
      <color theme="1"/>
      <name val="Tenorite"/>
    </font>
    <font>
      <i/>
      <sz val="9"/>
      <color rgb="FF000000"/>
      <name val="Tenorite"/>
    </font>
    <font>
      <i/>
      <vertAlign val="superscript"/>
      <sz val="9"/>
      <color rgb="FF000000"/>
      <name val="Tenorite"/>
    </font>
    <font>
      <sz val="9"/>
      <color rgb="FF000000"/>
      <name val="Tenorite"/>
    </font>
    <font>
      <vertAlign val="superscript"/>
      <sz val="9"/>
      <color rgb="FF000000"/>
      <name val="Tenorite"/>
    </font>
    <font>
      <vertAlign val="subscript"/>
      <sz val="12"/>
      <color theme="1"/>
      <name val="Tenorite"/>
    </font>
    <font>
      <vertAlign val="superscript"/>
      <sz val="12"/>
      <color theme="1"/>
      <name val="Tenorite"/>
    </font>
    <font>
      <i/>
      <sz val="9"/>
      <color theme="1"/>
      <name val="Tenorite"/>
      <family val="2"/>
    </font>
    <font>
      <b/>
      <sz val="9"/>
      <color rgb="FF000000"/>
      <name val="Tenorite"/>
    </font>
    <font>
      <vertAlign val="subscript"/>
      <sz val="9"/>
      <color rgb="FF000000"/>
      <name val="Tenorite"/>
    </font>
    <font>
      <sz val="9"/>
      <color rgb="FF000000"/>
      <name val="Calibri"/>
      <family val="2"/>
    </font>
    <font>
      <sz val="8"/>
      <color theme="1"/>
      <name val="Tenorite"/>
    </font>
    <font>
      <b/>
      <sz val="7"/>
      <color rgb="FF000000"/>
      <name val="Tenorite"/>
    </font>
    <font>
      <sz val="9"/>
      <color theme="1"/>
      <name val="Calibri"/>
      <family val="2"/>
    </font>
    <font>
      <vertAlign val="subscript"/>
      <sz val="9"/>
      <color theme="1"/>
      <name val="Calibri"/>
      <family val="2"/>
    </font>
    <font>
      <sz val="7.65"/>
      <color theme="1"/>
      <name val="Tenorite"/>
      <family val="2"/>
    </font>
    <font>
      <vertAlign val="subscript"/>
      <sz val="9"/>
      <color theme="1"/>
      <name val="Tenorite"/>
    </font>
    <font>
      <b/>
      <sz val="10"/>
      <color theme="4" tint="-0.249977111117893"/>
      <name val="Abadi"/>
      <family val="2"/>
    </font>
    <font>
      <sz val="10"/>
      <color theme="4" tint="-0.249977111117893"/>
      <name val="Abadi"/>
      <family val="2"/>
    </font>
    <font>
      <b/>
      <sz val="11"/>
      <name val="Tenorite"/>
    </font>
    <font>
      <b/>
      <sz val="11"/>
      <color theme="5" tint="-0.249977111117893"/>
      <name val="Tenorite"/>
    </font>
    <font>
      <sz val="10"/>
      <name val="Tenorite"/>
    </font>
    <font>
      <sz val="11"/>
      <color theme="1"/>
      <name val="Tenorite"/>
      <family val="2"/>
    </font>
    <font>
      <sz val="11"/>
      <color theme="1"/>
      <name val="Calibri"/>
      <family val="2"/>
    </font>
    <font>
      <vertAlign val="subscript"/>
      <sz val="11"/>
      <color theme="1"/>
      <name val="Tenorite"/>
    </font>
    <font>
      <i/>
      <vertAlign val="subscript"/>
      <sz val="9"/>
      <color rgb="FF000000"/>
      <name val="Tenorite"/>
    </font>
    <font>
      <i/>
      <sz val="3.6"/>
      <color rgb="FF000000"/>
      <name val="Tenorite"/>
    </font>
    <font>
      <i/>
      <sz val="9"/>
      <color rgb="FF000000"/>
      <name val="Tenorite"/>
      <family val="2"/>
    </font>
    <font>
      <b/>
      <sz val="8"/>
      <color theme="6" tint="-0.249977111117893"/>
      <name val="Tenorite"/>
    </font>
    <font>
      <sz val="8"/>
      <color theme="6" tint="-0.249977111117893"/>
      <name val="Tenorite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6" tint="0.79998168889431442"/>
      </patternFill>
    </fill>
  </fills>
  <borders count="8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ck">
        <color rgb="FF008000"/>
      </bottom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4" fontId="5" fillId="0" borderId="0" applyFont="0" applyFill="0" applyBorder="0" applyAlignment="0" applyProtection="0"/>
    <xf numFmtId="0" fontId="10" fillId="2" borderId="1" applyNumberFormat="0" applyAlignment="0" applyProtection="0"/>
    <xf numFmtId="0" fontId="5" fillId="0" borderId="0"/>
    <xf numFmtId="9" fontId="1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0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 indent="4"/>
    </xf>
    <xf numFmtId="9" fontId="0" fillId="0" borderId="0" xfId="1" applyFon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vertical="center" wrapText="1"/>
    </xf>
    <xf numFmtId="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1" fontId="4" fillId="3" borderId="5" xfId="0" applyNumberFormat="1" applyFont="1" applyFill="1" applyBorder="1" applyAlignment="1">
      <alignment horizontal="center" vertical="center"/>
    </xf>
    <xf numFmtId="9" fontId="4" fillId="3" borderId="0" xfId="1" applyFont="1" applyFill="1" applyAlignment="1">
      <alignment horizontal="center" vertical="center"/>
    </xf>
    <xf numFmtId="9" fontId="4" fillId="3" borderId="5" xfId="1" applyFont="1" applyFill="1" applyBorder="1" applyAlignment="1">
      <alignment horizontal="center" vertical="center"/>
    </xf>
    <xf numFmtId="165" fontId="4" fillId="3" borderId="0" xfId="1" applyNumberFormat="1" applyFont="1" applyFill="1" applyAlignment="1">
      <alignment horizontal="center" vertical="center"/>
    </xf>
    <xf numFmtId="165" fontId="4" fillId="3" borderId="5" xfId="1" applyNumberFormat="1" applyFont="1" applyFill="1" applyBorder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0" fillId="0" borderId="6" xfId="0" applyBorder="1"/>
    <xf numFmtId="0" fontId="7" fillId="4" borderId="6" xfId="0" applyFont="1" applyFill="1" applyBorder="1" applyAlignment="1">
      <alignment horizontal="center"/>
    </xf>
    <xf numFmtId="0" fontId="7" fillId="4" borderId="8" xfId="0" applyFont="1" applyFill="1" applyBorder="1"/>
    <xf numFmtId="0" fontId="7" fillId="4" borderId="0" xfId="0" applyFont="1" applyFill="1"/>
    <xf numFmtId="0" fontId="7" fillId="4" borderId="6" xfId="0" applyFont="1" applyFill="1" applyBorder="1"/>
    <xf numFmtId="166" fontId="7" fillId="4" borderId="6" xfId="2" applyNumberFormat="1" applyFont="1" applyFill="1" applyBorder="1" applyAlignment="1"/>
    <xf numFmtId="166" fontId="7" fillId="4" borderId="6" xfId="2" applyNumberFormat="1" applyFont="1" applyFill="1" applyBorder="1"/>
    <xf numFmtId="166" fontId="7" fillId="4" borderId="10" xfId="2" applyNumberFormat="1" applyFont="1" applyFill="1" applyBorder="1"/>
    <xf numFmtId="0" fontId="7" fillId="4" borderId="7" xfId="0" applyFont="1" applyFill="1" applyBorder="1"/>
    <xf numFmtId="166" fontId="7" fillId="4" borderId="6" xfId="0" applyNumberFormat="1" applyFont="1" applyFill="1" applyBorder="1"/>
    <xf numFmtId="166" fontId="7" fillId="4" borderId="0" xfId="2" applyNumberFormat="1" applyFont="1" applyFill="1" applyBorder="1"/>
    <xf numFmtId="166" fontId="7" fillId="4" borderId="0" xfId="0" applyNumberFormat="1" applyFont="1" applyFill="1"/>
    <xf numFmtId="2" fontId="8" fillId="4" borderId="14" xfId="4" applyNumberFormat="1" applyFont="1" applyFill="1" applyBorder="1" applyAlignment="1">
      <alignment horizontal="center" wrapText="1"/>
    </xf>
    <xf numFmtId="0" fontId="8" fillId="4" borderId="15" xfId="5" applyFont="1" applyFill="1" applyBorder="1" applyAlignment="1">
      <alignment wrapText="1"/>
    </xf>
    <xf numFmtId="43" fontId="9" fillId="4" borderId="22" xfId="4" applyFont="1" applyFill="1" applyBorder="1" applyAlignment="1">
      <alignment horizontal="center" wrapText="1"/>
    </xf>
    <xf numFmtId="43" fontId="9" fillId="5" borderId="24" xfId="4" applyFont="1" applyFill="1" applyBorder="1" applyAlignment="1">
      <alignment horizontal="center" wrapText="1"/>
    </xf>
    <xf numFmtId="2" fontId="9" fillId="4" borderId="14" xfId="4" applyNumberFormat="1" applyFont="1" applyFill="1" applyBorder="1" applyAlignment="1">
      <alignment horizontal="center" vertical="center" wrapText="1"/>
    </xf>
    <xf numFmtId="0" fontId="9" fillId="4" borderId="17" xfId="5" applyFont="1" applyFill="1" applyBorder="1" applyAlignment="1">
      <alignment vertical="center" wrapText="1"/>
    </xf>
    <xf numFmtId="43" fontId="9" fillId="4" borderId="20" xfId="4" applyFont="1" applyFill="1" applyBorder="1" applyAlignment="1">
      <alignment horizontal="center" vertical="center" wrapText="1"/>
    </xf>
    <xf numFmtId="43" fontId="9" fillId="5" borderId="26" xfId="4" applyFont="1" applyFill="1" applyBorder="1" applyAlignment="1">
      <alignment horizontal="center" vertical="center" wrapText="1"/>
    </xf>
    <xf numFmtId="0" fontId="9" fillId="4" borderId="17" xfId="5" applyFont="1" applyFill="1" applyBorder="1" applyAlignment="1">
      <alignment wrapText="1"/>
    </xf>
    <xf numFmtId="43" fontId="9" fillId="4" borderId="20" xfId="4" applyFont="1" applyFill="1" applyBorder="1" applyAlignment="1">
      <alignment horizontal="center" wrapText="1"/>
    </xf>
    <xf numFmtId="43" fontId="9" fillId="4" borderId="16" xfId="4" applyFont="1" applyFill="1" applyBorder="1" applyAlignment="1">
      <alignment horizontal="center" wrapText="1"/>
    </xf>
    <xf numFmtId="43" fontId="9" fillId="5" borderId="25" xfId="4" applyFont="1" applyFill="1" applyBorder="1" applyAlignment="1">
      <alignment horizontal="center" wrapText="1"/>
    </xf>
    <xf numFmtId="43" fontId="9" fillId="4" borderId="23" xfId="4" applyFont="1" applyFill="1" applyBorder="1" applyAlignment="1">
      <alignment horizontal="center" vertical="center" wrapText="1"/>
    </xf>
    <xf numFmtId="2" fontId="8" fillId="4" borderId="18" xfId="4" applyNumberFormat="1" applyFont="1" applyFill="1" applyBorder="1" applyAlignment="1">
      <alignment horizontal="center" wrapText="1"/>
    </xf>
    <xf numFmtId="0" fontId="8" fillId="4" borderId="17" xfId="5" applyFont="1" applyFill="1" applyBorder="1" applyAlignment="1">
      <alignment wrapText="1"/>
    </xf>
    <xf numFmtId="2" fontId="9" fillId="4" borderId="18" xfId="4" applyNumberFormat="1" applyFont="1" applyFill="1" applyBorder="1" applyAlignment="1">
      <alignment horizontal="center" vertical="center" wrapText="1"/>
    </xf>
    <xf numFmtId="43" fontId="9" fillId="5" borderId="25" xfId="4" applyFont="1" applyFill="1" applyBorder="1" applyAlignment="1">
      <alignment horizontal="center" vertical="center" wrapText="1"/>
    </xf>
    <xf numFmtId="2" fontId="8" fillId="4" borderId="27" xfId="4" applyNumberFormat="1" applyFont="1" applyFill="1" applyBorder="1" applyAlignment="1">
      <alignment horizontal="center" wrapText="1"/>
    </xf>
    <xf numFmtId="0" fontId="8" fillId="4" borderId="28" xfId="5" applyFont="1" applyFill="1" applyBorder="1" applyAlignment="1">
      <alignment wrapText="1"/>
    </xf>
    <xf numFmtId="2" fontId="9" fillId="4" borderId="29" xfId="4" applyNumberFormat="1" applyFont="1" applyFill="1" applyBorder="1" applyAlignment="1">
      <alignment horizontal="center" vertical="center" wrapText="1"/>
    </xf>
    <xf numFmtId="0" fontId="9" fillId="4" borderId="30" xfId="5" applyFont="1" applyFill="1" applyBorder="1" applyAlignment="1">
      <alignment wrapText="1"/>
    </xf>
    <xf numFmtId="43" fontId="9" fillId="4" borderId="31" xfId="4" applyFont="1" applyFill="1" applyBorder="1" applyAlignment="1">
      <alignment horizontal="center" wrapText="1"/>
    </xf>
    <xf numFmtId="43" fontId="9" fillId="5" borderId="32" xfId="4" applyFont="1" applyFill="1" applyBorder="1" applyAlignment="1">
      <alignment horizontal="center" vertical="center" wrapText="1"/>
    </xf>
    <xf numFmtId="167" fontId="9" fillId="4" borderId="16" xfId="4" applyNumberFormat="1" applyFont="1" applyFill="1" applyBorder="1" applyAlignment="1">
      <alignment horizontal="center" vertical="center" wrapText="1"/>
    </xf>
    <xf numFmtId="167" fontId="9" fillId="4" borderId="16" xfId="4" applyNumberFormat="1" applyFont="1" applyFill="1" applyBorder="1" applyAlignment="1">
      <alignment vertical="center" wrapText="1"/>
    </xf>
    <xf numFmtId="167" fontId="9" fillId="4" borderId="19" xfId="4" applyNumberFormat="1" applyFont="1" applyFill="1" applyBorder="1" applyAlignment="1">
      <alignment wrapText="1"/>
    </xf>
    <xf numFmtId="167" fontId="9" fillId="4" borderId="33" xfId="4" applyNumberFormat="1" applyFont="1" applyFill="1" applyBorder="1" applyAlignment="1">
      <alignment wrapText="1"/>
    </xf>
    <xf numFmtId="167" fontId="9" fillId="4" borderId="26" xfId="4" applyNumberFormat="1" applyFont="1" applyFill="1" applyBorder="1" applyAlignment="1">
      <alignment vertical="center" wrapText="1"/>
    </xf>
    <xf numFmtId="167" fontId="9" fillId="4" borderId="25" xfId="4" applyNumberFormat="1" applyFont="1" applyFill="1" applyBorder="1" applyAlignment="1">
      <alignment wrapText="1"/>
    </xf>
    <xf numFmtId="167" fontId="9" fillId="4" borderId="34" xfId="4" applyNumberFormat="1" applyFont="1" applyFill="1" applyBorder="1" applyAlignment="1">
      <alignment vertical="center" wrapText="1"/>
    </xf>
    <xf numFmtId="43" fontId="9" fillId="4" borderId="26" xfId="4" applyFont="1" applyFill="1" applyBorder="1" applyAlignment="1">
      <alignment horizontal="center" wrapText="1"/>
    </xf>
    <xf numFmtId="0" fontId="7" fillId="4" borderId="13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0" borderId="0" xfId="0" applyFont="1"/>
    <xf numFmtId="3" fontId="12" fillId="0" borderId="41" xfId="3" applyNumberFormat="1" applyFont="1" applyBorder="1" applyAlignment="1">
      <alignment horizontal="center"/>
    </xf>
    <xf numFmtId="3" fontId="12" fillId="0" borderId="6" xfId="3" applyNumberFormat="1" applyFont="1" applyBorder="1" applyAlignment="1">
      <alignment horizontal="center"/>
    </xf>
    <xf numFmtId="3" fontId="12" fillId="0" borderId="39" xfId="3" applyNumberFormat="1" applyFont="1" applyBorder="1" applyAlignment="1">
      <alignment horizontal="center"/>
    </xf>
    <xf numFmtId="0" fontId="13" fillId="0" borderId="21" xfId="9" applyFont="1" applyFill="1" applyBorder="1" applyAlignment="1">
      <alignment horizontal="center"/>
    </xf>
    <xf numFmtId="3" fontId="12" fillId="0" borderId="9" xfId="9" applyNumberFormat="1" applyFont="1" applyFill="1" applyBorder="1" applyAlignment="1">
      <alignment horizontal="center"/>
    </xf>
    <xf numFmtId="3" fontId="12" fillId="0" borderId="8" xfId="9" applyNumberFormat="1" applyFont="1" applyFill="1" applyBorder="1" applyAlignment="1">
      <alignment horizontal="center"/>
    </xf>
    <xf numFmtId="3" fontId="12" fillId="0" borderId="6" xfId="9" applyNumberFormat="1" applyFont="1" applyFill="1" applyBorder="1" applyAlignment="1">
      <alignment horizontal="center"/>
    </xf>
    <xf numFmtId="3" fontId="12" fillId="0" borderId="39" xfId="9" applyNumberFormat="1" applyFont="1" applyFill="1" applyBorder="1" applyAlignment="1">
      <alignment horizontal="center"/>
    </xf>
    <xf numFmtId="3" fontId="12" fillId="0" borderId="38" xfId="9" applyNumberFormat="1" applyFont="1" applyFill="1" applyBorder="1" applyAlignment="1">
      <alignment horizontal="center"/>
    </xf>
    <xf numFmtId="0" fontId="13" fillId="0" borderId="34" xfId="9" applyFont="1" applyFill="1" applyBorder="1" applyAlignment="1">
      <alignment horizontal="center"/>
    </xf>
    <xf numFmtId="3" fontId="12" fillId="0" borderId="44" xfId="9" applyNumberFormat="1" applyFont="1" applyFill="1" applyBorder="1" applyAlignment="1">
      <alignment horizontal="center"/>
    </xf>
    <xf numFmtId="3" fontId="12" fillId="0" borderId="44" xfId="3" applyNumberFormat="1" applyFont="1" applyBorder="1" applyAlignment="1">
      <alignment horizontal="center"/>
    </xf>
    <xf numFmtId="3" fontId="12" fillId="0" borderId="45" xfId="3" applyNumberFormat="1" applyFont="1" applyBorder="1" applyAlignment="1">
      <alignment horizontal="center"/>
    </xf>
    <xf numFmtId="3" fontId="12" fillId="0" borderId="37" xfId="3" applyNumberFormat="1" applyFont="1" applyBorder="1" applyAlignment="1">
      <alignment horizontal="center"/>
    </xf>
    <xf numFmtId="0" fontId="12" fillId="0" borderId="21" xfId="9" applyFont="1" applyFill="1" applyBorder="1" applyAlignment="1">
      <alignment horizontal="center"/>
    </xf>
    <xf numFmtId="0" fontId="12" fillId="0" borderId="35" xfId="3" applyFont="1" applyBorder="1" applyAlignment="1">
      <alignment horizontal="left"/>
    </xf>
    <xf numFmtId="0" fontId="12" fillId="0" borderId="21" xfId="3" applyFont="1" applyBorder="1" applyAlignment="1">
      <alignment horizontal="left"/>
    </xf>
    <xf numFmtId="0" fontId="13" fillId="0" borderId="42" xfId="9" applyFont="1" applyFill="1" applyBorder="1" applyAlignment="1">
      <alignment horizontal="center"/>
    </xf>
    <xf numFmtId="3" fontId="12" fillId="0" borderId="40" xfId="9" applyNumberFormat="1" applyFont="1" applyFill="1" applyBorder="1" applyAlignment="1">
      <alignment horizontal="center"/>
    </xf>
    <xf numFmtId="3" fontId="12" fillId="0" borderId="43" xfId="9" applyNumberFormat="1" applyFont="1" applyFill="1" applyBorder="1" applyAlignment="1">
      <alignment horizontal="center"/>
    </xf>
    <xf numFmtId="3" fontId="13" fillId="0" borderId="35" xfId="3" applyNumberFormat="1" applyFont="1" applyBorder="1" applyAlignment="1">
      <alignment horizontal="center"/>
    </xf>
    <xf numFmtId="3" fontId="13" fillId="0" borderId="21" xfId="3" applyNumberFormat="1" applyFont="1" applyBorder="1" applyAlignment="1">
      <alignment horizontal="center"/>
    </xf>
    <xf numFmtId="9" fontId="0" fillId="0" borderId="0" xfId="1" applyFont="1" applyBorder="1" applyAlignment="1">
      <alignment vertical="center" wrapText="1"/>
    </xf>
    <xf numFmtId="1" fontId="0" fillId="0" borderId="0" xfId="0" applyNumberFormat="1" applyAlignment="1">
      <alignment horizontal="left" vertical="center" wrapText="1" indent="4"/>
    </xf>
    <xf numFmtId="165" fontId="0" fillId="0" borderId="0" xfId="1" applyNumberFormat="1" applyFont="1" applyBorder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" fontId="0" fillId="0" borderId="6" xfId="0" applyNumberFormat="1" applyBorder="1"/>
    <xf numFmtId="1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0" fillId="0" borderId="48" xfId="0" applyBorder="1" applyAlignment="1">
      <alignment horizontal="center"/>
    </xf>
    <xf numFmtId="1" fontId="0" fillId="0" borderId="48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0" fontId="0" fillId="0" borderId="53" xfId="0" applyBorder="1" applyAlignment="1">
      <alignment horizontal="center"/>
    </xf>
    <xf numFmtId="1" fontId="0" fillId="0" borderId="53" xfId="0" applyNumberFormat="1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1" applyNumberFormat="1" applyFont="1" applyBorder="1" applyAlignment="1">
      <alignment vertical="center" wrapText="1"/>
    </xf>
    <xf numFmtId="43" fontId="0" fillId="0" borderId="0" xfId="16" applyFont="1"/>
    <xf numFmtId="9" fontId="7" fillId="4" borderId="0" xfId="1" applyFont="1" applyFill="1" applyBorder="1"/>
    <xf numFmtId="9" fontId="7" fillId="4" borderId="0" xfId="1" applyFont="1" applyFill="1"/>
    <xf numFmtId="167" fontId="7" fillId="4" borderId="0" xfId="0" applyNumberFormat="1" applyFont="1" applyFill="1"/>
    <xf numFmtId="0" fontId="17" fillId="0" borderId="0" xfId="0" applyFont="1" applyAlignment="1">
      <alignment horizontal="center" vertical="center" wrapText="1"/>
    </xf>
    <xf numFmtId="2" fontId="17" fillId="0" borderId="0" xfId="16" applyNumberFormat="1" applyFont="1" applyFill="1" applyBorder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 wrapText="1"/>
    </xf>
    <xf numFmtId="0" fontId="17" fillId="0" borderId="0" xfId="0" applyFont="1"/>
    <xf numFmtId="164" fontId="17" fillId="0" borderId="0" xfId="0" applyNumberFormat="1" applyFont="1" applyAlignment="1">
      <alignment horizontal="center"/>
    </xf>
    <xf numFmtId="165" fontId="17" fillId="0" borderId="0" xfId="15" applyNumberFormat="1" applyFont="1" applyFill="1" applyBorder="1" applyAlignment="1">
      <alignment horizontal="center"/>
    </xf>
    <xf numFmtId="1" fontId="17" fillId="0" borderId="0" xfId="0" applyNumberFormat="1" applyFont="1" applyAlignment="1">
      <alignment horizontal="center"/>
    </xf>
    <xf numFmtId="164" fontId="17" fillId="0" borderId="0" xfId="15" applyNumberFormat="1" applyFont="1" applyFill="1" applyBorder="1" applyAlignment="1">
      <alignment horizontal="center"/>
    </xf>
    <xf numFmtId="9" fontId="17" fillId="0" borderId="0" xfId="15" applyFont="1" applyFill="1" applyBorder="1" applyAlignment="1">
      <alignment horizontal="center"/>
    </xf>
    <xf numFmtId="2" fontId="17" fillId="0" borderId="0" xfId="15" applyNumberFormat="1" applyFont="1" applyFill="1" applyBorder="1" applyAlignment="1">
      <alignment horizontal="center"/>
    </xf>
    <xf numFmtId="2" fontId="17" fillId="0" borderId="0" xfId="0" applyNumberFormat="1" applyFont="1" applyAlignment="1">
      <alignment horizontal="center"/>
    </xf>
    <xf numFmtId="9" fontId="17" fillId="0" borderId="0" xfId="15" applyFont="1" applyFill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2" fontId="17" fillId="0" borderId="0" xfId="16" applyNumberFormat="1" applyFont="1" applyFill="1" applyBorder="1" applyAlignment="1">
      <alignment horizontal="center" vertical="center"/>
    </xf>
    <xf numFmtId="1" fontId="17" fillId="0" borderId="0" xfId="16" applyNumberFormat="1" applyFont="1" applyFill="1" applyBorder="1" applyAlignment="1">
      <alignment horizontal="center" vertical="center"/>
    </xf>
    <xf numFmtId="164" fontId="17" fillId="0" borderId="0" xfId="16" applyNumberFormat="1" applyFont="1" applyFill="1" applyBorder="1" applyAlignment="1">
      <alignment horizontal="center" vertical="center"/>
    </xf>
    <xf numFmtId="0" fontId="18" fillId="4" borderId="0" xfId="0" applyFont="1" applyFill="1"/>
    <xf numFmtId="164" fontId="18" fillId="4" borderId="0" xfId="0" applyNumberFormat="1" applyFont="1" applyFill="1"/>
    <xf numFmtId="165" fontId="18" fillId="4" borderId="0" xfId="0" applyNumberFormat="1" applyFont="1" applyFill="1" applyAlignment="1">
      <alignment horizontal="center"/>
    </xf>
    <xf numFmtId="2" fontId="18" fillId="4" borderId="0" xfId="0" applyNumberFormat="1" applyFont="1" applyFill="1"/>
    <xf numFmtId="1" fontId="18" fillId="4" borderId="0" xfId="0" applyNumberFormat="1" applyFont="1" applyFill="1"/>
    <xf numFmtId="164" fontId="18" fillId="4" borderId="0" xfId="0" applyNumberFormat="1" applyFont="1" applyFill="1" applyAlignment="1">
      <alignment horizontal="center"/>
    </xf>
    <xf numFmtId="165" fontId="18" fillId="4" borderId="0" xfId="0" applyNumberFormat="1" applyFont="1" applyFill="1"/>
    <xf numFmtId="1" fontId="17" fillId="0" borderId="0" xfId="0" applyNumberFormat="1" applyFont="1"/>
    <xf numFmtId="2" fontId="17" fillId="0" borderId="0" xfId="0" applyNumberFormat="1" applyFont="1"/>
    <xf numFmtId="0" fontId="0" fillId="0" borderId="37" xfId="0" applyBorder="1"/>
    <xf numFmtId="1" fontId="0" fillId="0" borderId="7" xfId="0" applyNumberFormat="1" applyBorder="1"/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/>
    <xf numFmtId="1" fontId="0" fillId="0" borderId="10" xfId="0" applyNumberFormat="1" applyBorder="1"/>
    <xf numFmtId="1" fontId="0" fillId="0" borderId="57" xfId="0" applyNumberFormat="1" applyBorder="1"/>
    <xf numFmtId="1" fontId="0" fillId="0" borderId="55" xfId="0" applyNumberFormat="1" applyBorder="1"/>
    <xf numFmtId="164" fontId="0" fillId="0" borderId="55" xfId="0" applyNumberFormat="1" applyBorder="1"/>
    <xf numFmtId="164" fontId="0" fillId="0" borderId="57" xfId="0" applyNumberFormat="1" applyBorder="1"/>
    <xf numFmtId="1" fontId="0" fillId="0" borderId="58" xfId="0" applyNumberFormat="1" applyBorder="1"/>
    <xf numFmtId="166" fontId="7" fillId="4" borderId="0" xfId="2" applyNumberFormat="1" applyFont="1" applyFill="1"/>
    <xf numFmtId="0" fontId="0" fillId="0" borderId="5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19" fillId="0" borderId="0" xfId="0" applyFont="1"/>
    <xf numFmtId="0" fontId="20" fillId="0" borderId="6" xfId="0" applyFont="1" applyBorder="1" applyAlignment="1">
      <alignment horizontal="center" wrapText="1"/>
    </xf>
    <xf numFmtId="0" fontId="20" fillId="0" borderId="51" xfId="0" applyFont="1" applyBorder="1" applyAlignment="1">
      <alignment horizontal="center" wrapText="1"/>
    </xf>
    <xf numFmtId="0" fontId="21" fillId="3" borderId="62" xfId="0" applyFont="1" applyFill="1" applyBorder="1" applyAlignment="1">
      <alignment horizontal="justify" vertical="center" wrapText="1"/>
    </xf>
    <xf numFmtId="0" fontId="21" fillId="3" borderId="63" xfId="0" applyFont="1" applyFill="1" applyBorder="1" applyAlignment="1">
      <alignment horizontal="justify" vertical="center" wrapText="1"/>
    </xf>
    <xf numFmtId="0" fontId="23" fillId="3" borderId="0" xfId="0" applyFont="1" applyFill="1" applyAlignment="1">
      <alignment horizontal="justify" vertical="center" wrapText="1"/>
    </xf>
    <xf numFmtId="0" fontId="21" fillId="3" borderId="0" xfId="0" applyFont="1" applyFill="1" applyAlignment="1">
      <alignment vertical="center" wrapText="1"/>
    </xf>
    <xf numFmtId="0" fontId="21" fillId="3" borderId="63" xfId="0" applyFont="1" applyFill="1" applyBorder="1" applyAlignment="1">
      <alignment vertical="center" wrapText="1"/>
    </xf>
    <xf numFmtId="164" fontId="23" fillId="3" borderId="0" xfId="0" applyNumberFormat="1" applyFont="1" applyFill="1" applyAlignment="1">
      <alignment horizontal="justify" vertical="center" wrapText="1"/>
    </xf>
    <xf numFmtId="9" fontId="23" fillId="3" borderId="0" xfId="0" applyNumberFormat="1" applyFont="1" applyFill="1" applyAlignment="1">
      <alignment horizontal="justify" vertical="center" wrapText="1"/>
    </xf>
    <xf numFmtId="0" fontId="21" fillId="3" borderId="64" xfId="0" applyFont="1" applyFill="1" applyBorder="1" applyAlignment="1">
      <alignment horizontal="justify" vertical="center" wrapText="1"/>
    </xf>
    <xf numFmtId="0" fontId="23" fillId="3" borderId="65" xfId="0" applyFont="1" applyFill="1" applyBorder="1" applyAlignment="1">
      <alignment horizontal="justify" vertic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23" fillId="0" borderId="34" xfId="0" applyFont="1" applyBorder="1" applyAlignment="1">
      <alignment horizontal="left" vertical="center"/>
    </xf>
    <xf numFmtId="0" fontId="23" fillId="0" borderId="70" xfId="0" applyFont="1" applyBorder="1" applyAlignment="1">
      <alignment horizontal="center" vertical="center"/>
    </xf>
    <xf numFmtId="0" fontId="23" fillId="0" borderId="70" xfId="0" applyFont="1" applyBorder="1" applyAlignment="1">
      <alignment horizontal="right" vertical="center"/>
    </xf>
    <xf numFmtId="0" fontId="23" fillId="0" borderId="70" xfId="0" applyFont="1" applyBorder="1" applyAlignment="1">
      <alignment horizontal="justify" vertical="center"/>
    </xf>
    <xf numFmtId="0" fontId="23" fillId="0" borderId="71" xfId="0" applyFont="1" applyBorder="1" applyAlignment="1">
      <alignment horizontal="left" vertical="center"/>
    </xf>
    <xf numFmtId="0" fontId="23" fillId="0" borderId="5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9" fontId="0" fillId="0" borderId="0" xfId="1" applyFont="1"/>
    <xf numFmtId="1" fontId="23" fillId="0" borderId="5" xfId="0" applyNumberFormat="1" applyFont="1" applyBorder="1" applyAlignment="1">
      <alignment horizontal="right" vertical="center"/>
    </xf>
    <xf numFmtId="165" fontId="23" fillId="0" borderId="5" xfId="1" applyNumberFormat="1" applyFont="1" applyBorder="1" applyAlignment="1">
      <alignment horizontal="right" vertical="center"/>
    </xf>
    <xf numFmtId="165" fontId="0" fillId="0" borderId="0" xfId="1" applyNumberFormat="1" applyFont="1"/>
    <xf numFmtId="164" fontId="23" fillId="0" borderId="70" xfId="0" applyNumberFormat="1" applyFont="1" applyBorder="1" applyAlignment="1">
      <alignment horizontal="right" vertical="center"/>
    </xf>
    <xf numFmtId="9" fontId="23" fillId="0" borderId="70" xfId="1" applyFont="1" applyBorder="1" applyAlignment="1">
      <alignment horizontal="right" vertical="center"/>
    </xf>
    <xf numFmtId="1" fontId="0" fillId="0" borderId="0" xfId="1" applyNumberFormat="1" applyFont="1"/>
    <xf numFmtId="2" fontId="0" fillId="0" borderId="0" xfId="0" applyNumberFormat="1"/>
    <xf numFmtId="1" fontId="23" fillId="0" borderId="0" xfId="0" applyNumberFormat="1" applyFont="1" applyAlignment="1">
      <alignment horizontal="right" vertical="center"/>
    </xf>
    <xf numFmtId="0" fontId="23" fillId="0" borderId="46" xfId="0" applyFont="1" applyBorder="1" applyAlignment="1">
      <alignment horizontal="right" vertical="center"/>
    </xf>
    <xf numFmtId="165" fontId="23" fillId="0" borderId="46" xfId="1" applyNumberFormat="1" applyFont="1" applyFill="1" applyBorder="1" applyAlignment="1">
      <alignment horizontal="right" vertical="center"/>
    </xf>
    <xf numFmtId="2" fontId="0" fillId="0" borderId="0" xfId="0" applyNumberFormat="1" applyAlignment="1">
      <alignment vertical="center" wrapText="1"/>
    </xf>
    <xf numFmtId="0" fontId="7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169" fontId="7" fillId="4" borderId="0" xfId="0" applyNumberFormat="1" applyFont="1" applyFill="1"/>
    <xf numFmtId="44" fontId="7" fillId="4" borderId="0" xfId="2" applyFont="1" applyFill="1"/>
    <xf numFmtId="9" fontId="0" fillId="0" borderId="0" xfId="0" applyNumberFormat="1"/>
    <xf numFmtId="168" fontId="0" fillId="0" borderId="0" xfId="0" applyNumberFormat="1"/>
    <xf numFmtId="0" fontId="0" fillId="4" borderId="0" xfId="0" applyFill="1"/>
    <xf numFmtId="0" fontId="28" fillId="4" borderId="70" xfId="0" applyFont="1" applyFill="1" applyBorder="1" applyAlignment="1">
      <alignment horizontal="center" vertical="center"/>
    </xf>
    <xf numFmtId="0" fontId="31" fillId="4" borderId="42" xfId="0" applyFont="1" applyFill="1" applyBorder="1" applyAlignment="1">
      <alignment horizontal="left" vertical="center" wrapText="1"/>
    </xf>
    <xf numFmtId="0" fontId="23" fillId="4" borderId="34" xfId="0" applyFont="1" applyFill="1" applyBorder="1" applyAlignment="1">
      <alignment horizontal="left" vertical="center"/>
    </xf>
    <xf numFmtId="0" fontId="23" fillId="4" borderId="70" xfId="0" applyFont="1" applyFill="1" applyBorder="1" applyAlignment="1">
      <alignment horizontal="center" vertical="center"/>
    </xf>
    <xf numFmtId="0" fontId="23" fillId="4" borderId="70" xfId="0" applyFont="1" applyFill="1" applyBorder="1" applyAlignment="1">
      <alignment horizontal="right" vertical="center"/>
    </xf>
    <xf numFmtId="0" fontId="23" fillId="4" borderId="0" xfId="0" applyFont="1" applyFill="1" applyAlignment="1">
      <alignment horizontal="right" vertical="center"/>
    </xf>
    <xf numFmtId="0" fontId="31" fillId="4" borderId="46" xfId="0" applyFont="1" applyFill="1" applyBorder="1" applyAlignment="1">
      <alignment horizontal="center" vertical="center" wrapText="1"/>
    </xf>
    <xf numFmtId="0" fontId="31" fillId="4" borderId="34" xfId="0" applyFont="1" applyFill="1" applyBorder="1" applyAlignment="1">
      <alignment horizontal="justify" vertical="center" wrapText="1"/>
    </xf>
    <xf numFmtId="0" fontId="23" fillId="4" borderId="71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34" xfId="0" applyFont="1" applyFill="1" applyBorder="1" applyAlignment="1">
      <alignment horizontal="center" vertical="center"/>
    </xf>
    <xf numFmtId="164" fontId="23" fillId="4" borderId="70" xfId="0" applyNumberFormat="1" applyFont="1" applyFill="1" applyBorder="1" applyAlignment="1">
      <alignment horizontal="right" vertical="center"/>
    </xf>
    <xf numFmtId="165" fontId="23" fillId="4" borderId="70" xfId="1" applyNumberFormat="1" applyFont="1" applyFill="1" applyBorder="1" applyAlignment="1">
      <alignment horizontal="right" vertical="center"/>
    </xf>
    <xf numFmtId="1" fontId="23" fillId="4" borderId="5" xfId="0" applyNumberFormat="1" applyFont="1" applyFill="1" applyBorder="1" applyAlignment="1">
      <alignment horizontal="right" vertical="center"/>
    </xf>
    <xf numFmtId="0" fontId="23" fillId="4" borderId="78" xfId="0" applyFont="1" applyFill="1" applyBorder="1" applyAlignment="1">
      <alignment horizontal="center" vertical="center"/>
    </xf>
    <xf numFmtId="1" fontId="23" fillId="4" borderId="0" xfId="0" applyNumberFormat="1" applyFont="1" applyFill="1" applyAlignment="1">
      <alignment horizontal="right" vertical="center"/>
    </xf>
    <xf numFmtId="1" fontId="0" fillId="4" borderId="0" xfId="0" applyNumberFormat="1" applyFill="1"/>
    <xf numFmtId="0" fontId="23" fillId="4" borderId="71" xfId="0" applyFont="1" applyFill="1" applyBorder="1" applyAlignment="1">
      <alignment horizontal="left" vertical="center"/>
    </xf>
    <xf numFmtId="0" fontId="0" fillId="4" borderId="6" xfId="0" applyFill="1" applyBorder="1"/>
    <xf numFmtId="165" fontId="23" fillId="4" borderId="5" xfId="1" applyNumberFormat="1" applyFont="1" applyFill="1" applyBorder="1" applyAlignment="1">
      <alignment horizontal="right" vertical="center"/>
    </xf>
    <xf numFmtId="2" fontId="0" fillId="4" borderId="0" xfId="0" applyNumberFormat="1" applyFill="1"/>
    <xf numFmtId="0" fontId="28" fillId="4" borderId="5" xfId="0" applyFont="1" applyFill="1" applyBorder="1" applyAlignment="1">
      <alignment horizontal="center" vertical="center"/>
    </xf>
    <xf numFmtId="1" fontId="28" fillId="4" borderId="5" xfId="0" applyNumberFormat="1" applyFont="1" applyFill="1" applyBorder="1" applyAlignment="1">
      <alignment horizontal="center" vertical="center"/>
    </xf>
    <xf numFmtId="2" fontId="23" fillId="4" borderId="70" xfId="0" applyNumberFormat="1" applyFont="1" applyFill="1" applyBorder="1" applyAlignment="1">
      <alignment horizontal="right" vertical="center"/>
    </xf>
    <xf numFmtId="9" fontId="0" fillId="4" borderId="0" xfId="1" applyFont="1" applyFill="1"/>
    <xf numFmtId="168" fontId="23" fillId="4" borderId="70" xfId="0" applyNumberFormat="1" applyFont="1" applyFill="1" applyBorder="1" applyAlignment="1">
      <alignment horizontal="right" vertical="center"/>
    </xf>
    <xf numFmtId="2" fontId="23" fillId="4" borderId="5" xfId="0" applyNumberFormat="1" applyFont="1" applyFill="1" applyBorder="1" applyAlignment="1">
      <alignment horizontal="right" vertical="center"/>
    </xf>
    <xf numFmtId="9" fontId="23" fillId="4" borderId="5" xfId="1" applyFont="1" applyFill="1" applyBorder="1" applyAlignment="1">
      <alignment horizontal="right" vertical="center"/>
    </xf>
    <xf numFmtId="1" fontId="23" fillId="4" borderId="70" xfId="0" applyNumberFormat="1" applyFont="1" applyFill="1" applyBorder="1" applyAlignment="1">
      <alignment horizontal="right" vertical="center"/>
    </xf>
    <xf numFmtId="0" fontId="23" fillId="4" borderId="5" xfId="0" applyFont="1" applyFill="1" applyBorder="1" applyAlignment="1">
      <alignment horizontal="right" vertical="center"/>
    </xf>
    <xf numFmtId="0" fontId="23" fillId="4" borderId="70" xfId="0" applyFont="1" applyFill="1" applyBorder="1" applyAlignment="1">
      <alignment horizontal="justify" vertical="center"/>
    </xf>
    <xf numFmtId="0" fontId="23" fillId="4" borderId="5" xfId="0" applyFont="1" applyFill="1" applyBorder="1" applyAlignment="1">
      <alignment horizontal="justify" vertical="center"/>
    </xf>
    <xf numFmtId="164" fontId="0" fillId="4" borderId="0" xfId="0" applyNumberFormat="1" applyFill="1"/>
    <xf numFmtId="0" fontId="0" fillId="4" borderId="6" xfId="0" applyFill="1" applyBorder="1" applyAlignment="1">
      <alignment horizontal="center"/>
    </xf>
    <xf numFmtId="165" fontId="0" fillId="4" borderId="0" xfId="1" applyNumberFormat="1" applyFont="1" applyFill="1"/>
    <xf numFmtId="164" fontId="0" fillId="4" borderId="6" xfId="0" applyNumberFormat="1" applyFill="1" applyBorder="1" applyAlignment="1">
      <alignment horizontal="center"/>
    </xf>
    <xf numFmtId="165" fontId="0" fillId="4" borderId="0" xfId="0" applyNumberFormat="1" applyFill="1"/>
    <xf numFmtId="1" fontId="23" fillId="4" borderId="70" xfId="0" applyNumberFormat="1" applyFont="1" applyFill="1" applyBorder="1" applyAlignment="1">
      <alignment horizontal="center" vertical="center"/>
    </xf>
    <xf numFmtId="0" fontId="0" fillId="4" borderId="42" xfId="0" applyFill="1" applyBorder="1" applyAlignment="1">
      <alignment vertical="top" wrapText="1"/>
    </xf>
    <xf numFmtId="0" fontId="31" fillId="4" borderId="6" xfId="0" applyFont="1" applyFill="1" applyBorder="1" applyAlignment="1">
      <alignment horizontal="justify" vertical="center" wrapText="1"/>
    </xf>
    <xf numFmtId="164" fontId="31" fillId="4" borderId="6" xfId="0" applyNumberFormat="1" applyFont="1" applyFill="1" applyBorder="1" applyAlignment="1">
      <alignment horizontal="center" vertical="center" wrapText="1"/>
    </xf>
    <xf numFmtId="0" fontId="31" fillId="4" borderId="6" xfId="0" applyFont="1" applyFill="1" applyBorder="1" applyAlignment="1">
      <alignment horizontal="center" vertical="center" wrapText="1"/>
    </xf>
    <xf numFmtId="2" fontId="31" fillId="4" borderId="6" xfId="0" applyNumberFormat="1" applyFont="1" applyFill="1" applyBorder="1" applyAlignment="1">
      <alignment horizontal="center" vertical="center" wrapText="1"/>
    </xf>
    <xf numFmtId="1" fontId="31" fillId="4" borderId="6" xfId="0" applyNumberFormat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33" fillId="4" borderId="0" xfId="0" applyFont="1" applyFill="1"/>
    <xf numFmtId="1" fontId="0" fillId="4" borderId="0" xfId="0" applyNumberFormat="1" applyFill="1" applyAlignment="1">
      <alignment horizontal="right"/>
    </xf>
    <xf numFmtId="168" fontId="0" fillId="4" borderId="0" xfId="0" applyNumberFormat="1" applyFill="1"/>
    <xf numFmtId="164" fontId="0" fillId="4" borderId="6" xfId="0" applyNumberFormat="1" applyFill="1" applyBorder="1"/>
    <xf numFmtId="9" fontId="31" fillId="4" borderId="6" xfId="1" applyFont="1" applyFill="1" applyBorder="1" applyAlignment="1">
      <alignment horizontal="center" vertical="center" wrapText="1"/>
    </xf>
    <xf numFmtId="0" fontId="31" fillId="4" borderId="0" xfId="0" applyFont="1" applyFill="1" applyAlignment="1">
      <alignment horizontal="justify" vertical="center" wrapText="1"/>
    </xf>
    <xf numFmtId="165" fontId="31" fillId="4" borderId="0" xfId="0" applyNumberFormat="1" applyFont="1" applyFill="1" applyAlignment="1">
      <alignment horizontal="center" vertical="center" wrapText="1"/>
    </xf>
    <xf numFmtId="0" fontId="31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left" vertical="center"/>
    </xf>
    <xf numFmtId="9" fontId="23" fillId="4" borderId="70" xfId="1" applyFont="1" applyFill="1" applyBorder="1" applyAlignment="1">
      <alignment horizontal="right" vertical="center"/>
    </xf>
    <xf numFmtId="0" fontId="23" fillId="3" borderId="71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70" xfId="0" applyFont="1" applyFill="1" applyBorder="1" applyAlignment="1">
      <alignment horizontal="center" vertical="center"/>
    </xf>
    <xf numFmtId="0" fontId="23" fillId="3" borderId="70" xfId="0" applyFont="1" applyFill="1" applyBorder="1" applyAlignment="1">
      <alignment horizontal="right" vertical="center"/>
    </xf>
    <xf numFmtId="0" fontId="23" fillId="3" borderId="5" xfId="0" applyFont="1" applyFill="1" applyBorder="1" applyAlignment="1">
      <alignment horizontal="right" vertical="center"/>
    </xf>
    <xf numFmtId="0" fontId="23" fillId="3" borderId="71" xfId="0" applyFont="1" applyFill="1" applyBorder="1" applyAlignment="1">
      <alignment horizontal="left" vertical="center"/>
    </xf>
    <xf numFmtId="10" fontId="23" fillId="3" borderId="5" xfId="0" applyNumberFormat="1" applyFont="1" applyFill="1" applyBorder="1" applyAlignment="1">
      <alignment horizontal="right" vertical="center"/>
    </xf>
    <xf numFmtId="1" fontId="23" fillId="3" borderId="70" xfId="0" applyNumberFormat="1" applyFont="1" applyFill="1" applyBorder="1" applyAlignment="1">
      <alignment horizontal="right" vertical="center"/>
    </xf>
    <xf numFmtId="0" fontId="23" fillId="4" borderId="0" xfId="0" applyFont="1" applyFill="1" applyAlignment="1">
      <alignment horizontal="center" vertical="center"/>
    </xf>
    <xf numFmtId="164" fontId="23" fillId="4" borderId="0" xfId="0" applyNumberFormat="1" applyFont="1" applyFill="1" applyAlignment="1">
      <alignment horizontal="right" vertical="center"/>
    </xf>
    <xf numFmtId="0" fontId="37" fillId="0" borderId="86" xfId="0" applyFont="1" applyBorder="1" applyAlignment="1">
      <alignment horizontal="center" vertical="center" wrapText="1"/>
    </xf>
    <xf numFmtId="1" fontId="38" fillId="6" borderId="0" xfId="0" applyNumberFormat="1" applyFont="1" applyFill="1" applyAlignment="1">
      <alignment horizontal="center" vertical="center"/>
    </xf>
    <xf numFmtId="1" fontId="38" fillId="0" borderId="0" xfId="0" applyNumberFormat="1" applyFont="1" applyAlignment="1">
      <alignment horizontal="center" vertical="center"/>
    </xf>
    <xf numFmtId="0" fontId="39" fillId="4" borderId="6" xfId="0" applyFont="1" applyFill="1" applyBorder="1" applyAlignment="1">
      <alignment horizontal="center" vertical="center" wrapText="1"/>
    </xf>
    <xf numFmtId="0" fontId="40" fillId="4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1" fontId="41" fillId="4" borderId="50" xfId="0" applyNumberFormat="1" applyFont="1" applyFill="1" applyBorder="1" applyAlignment="1">
      <alignment horizontal="center"/>
    </xf>
    <xf numFmtId="1" fontId="41" fillId="4" borderId="6" xfId="0" applyNumberFormat="1" applyFont="1" applyFill="1" applyBorder="1" applyAlignment="1">
      <alignment horizontal="center"/>
    </xf>
    <xf numFmtId="1" fontId="41" fillId="4" borderId="5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/>
    </xf>
    <xf numFmtId="0" fontId="37" fillId="0" borderId="0" xfId="0" applyFont="1" applyAlignment="1">
      <alignment horizontal="center" vertical="center" wrapText="1"/>
    </xf>
    <xf numFmtId="9" fontId="38" fillId="0" borderId="0" xfId="1" applyFont="1" applyAlignment="1">
      <alignment horizontal="center" vertical="center"/>
    </xf>
    <xf numFmtId="9" fontId="38" fillId="6" borderId="0" xfId="1" applyFont="1" applyFill="1" applyAlignment="1">
      <alignment horizontal="center" vertical="center"/>
    </xf>
    <xf numFmtId="1" fontId="38" fillId="6" borderId="0" xfId="0" applyNumberFormat="1" applyFont="1" applyFill="1" applyAlignment="1">
      <alignment horizontal="center"/>
    </xf>
    <xf numFmtId="1" fontId="38" fillId="0" borderId="0" xfId="0" applyNumberFormat="1" applyFont="1" applyAlignment="1">
      <alignment horizontal="center"/>
    </xf>
    <xf numFmtId="1" fontId="41" fillId="4" borderId="0" xfId="0" applyNumberFormat="1" applyFont="1" applyFill="1" applyAlignment="1">
      <alignment horizontal="center" vertical="center"/>
    </xf>
    <xf numFmtId="1" fontId="41" fillId="4" borderId="37" xfId="0" applyNumberFormat="1" applyFont="1" applyFill="1" applyBorder="1" applyAlignment="1">
      <alignment horizontal="center" vertical="center"/>
    </xf>
    <xf numFmtId="1" fontId="41" fillId="4" borderId="6" xfId="0" applyNumberFormat="1" applyFont="1" applyFill="1" applyBorder="1" applyAlignment="1">
      <alignment horizontal="center" vertical="center"/>
    </xf>
    <xf numFmtId="1" fontId="41" fillId="4" borderId="51" xfId="0" applyNumberFormat="1" applyFont="1" applyFill="1" applyBorder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65" fontId="0" fillId="4" borderId="0" xfId="1" applyNumberFormat="1" applyFont="1" applyFill="1" applyAlignment="1">
      <alignment horizontal="center" vertical="center"/>
    </xf>
    <xf numFmtId="10" fontId="0" fillId="4" borderId="0" xfId="1" applyNumberFormat="1" applyFont="1" applyFill="1" applyAlignment="1">
      <alignment horizontal="center"/>
    </xf>
    <xf numFmtId="9" fontId="0" fillId="4" borderId="0" xfId="0" applyNumberFormat="1" applyFill="1"/>
    <xf numFmtId="0" fontId="42" fillId="4" borderId="0" xfId="0" applyFont="1" applyFill="1"/>
    <xf numFmtId="0" fontId="20" fillId="4" borderId="0" xfId="0" applyFont="1" applyFill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justify" vertical="center" wrapText="1"/>
    </xf>
    <xf numFmtId="0" fontId="2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9" fontId="0" fillId="0" borderId="0" xfId="1" applyFont="1" applyFill="1" applyBorder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" fontId="23" fillId="0" borderId="0" xfId="0" applyNumberFormat="1" applyFont="1" applyAlignment="1">
      <alignment horizontal="center" wrapText="1"/>
    </xf>
    <xf numFmtId="0" fontId="23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23" fillId="0" borderId="0" xfId="0" applyFont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wrapText="1"/>
    </xf>
    <xf numFmtId="1" fontId="0" fillId="0" borderId="0" xfId="1" applyNumberFormat="1" applyFont="1" applyFill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0" fontId="33" fillId="0" borderId="0" xfId="0" applyFont="1"/>
    <xf numFmtId="1" fontId="14" fillId="0" borderId="0" xfId="0" applyNumberFormat="1" applyFont="1"/>
    <xf numFmtId="0" fontId="20" fillId="4" borderId="50" xfId="0" applyFont="1" applyFill="1" applyBorder="1" applyAlignment="1">
      <alignment horizontal="center"/>
    </xf>
    <xf numFmtId="0" fontId="20" fillId="4" borderId="6" xfId="0" applyFont="1" applyFill="1" applyBorder="1" applyAlignment="1">
      <alignment horizontal="center"/>
    </xf>
    <xf numFmtId="0" fontId="20" fillId="4" borderId="6" xfId="0" applyFont="1" applyFill="1" applyBorder="1" applyAlignment="1">
      <alignment horizontal="center" wrapText="1"/>
    </xf>
    <xf numFmtId="0" fontId="20" fillId="4" borderId="51" xfId="0" applyFont="1" applyFill="1" applyBorder="1" applyAlignment="1">
      <alignment horizontal="center" wrapText="1"/>
    </xf>
    <xf numFmtId="0" fontId="21" fillId="4" borderId="62" xfId="0" applyFont="1" applyFill="1" applyBorder="1" applyAlignment="1">
      <alignment horizontal="justify" vertical="center" wrapText="1"/>
    </xf>
    <xf numFmtId="0" fontId="21" fillId="4" borderId="63" xfId="0" applyFont="1" applyFill="1" applyBorder="1" applyAlignment="1">
      <alignment horizontal="justify" vertical="center" wrapText="1"/>
    </xf>
    <xf numFmtId="0" fontId="23" fillId="4" borderId="0" xfId="0" applyFont="1" applyFill="1" applyAlignment="1">
      <alignment horizontal="justify" vertical="center" wrapText="1"/>
    </xf>
    <xf numFmtId="0" fontId="21" fillId="4" borderId="0" xfId="0" applyFont="1" applyFill="1" applyAlignment="1">
      <alignment vertical="center" wrapText="1"/>
    </xf>
    <xf numFmtId="0" fontId="21" fillId="4" borderId="63" xfId="0" applyFont="1" applyFill="1" applyBorder="1" applyAlignment="1">
      <alignment vertical="center" wrapText="1"/>
    </xf>
    <xf numFmtId="164" fontId="23" fillId="4" borderId="0" xfId="0" applyNumberFormat="1" applyFont="1" applyFill="1" applyAlignment="1">
      <alignment horizontal="justify" vertical="center" wrapText="1"/>
    </xf>
    <xf numFmtId="9" fontId="23" fillId="4" borderId="0" xfId="0" applyNumberFormat="1" applyFont="1" applyFill="1" applyAlignment="1">
      <alignment horizontal="justify" vertical="center" wrapText="1"/>
    </xf>
    <xf numFmtId="0" fontId="21" fillId="4" borderId="64" xfId="0" applyFont="1" applyFill="1" applyBorder="1" applyAlignment="1">
      <alignment horizontal="justify" vertical="center" wrapText="1"/>
    </xf>
    <xf numFmtId="0" fontId="23" fillId="4" borderId="65" xfId="0" applyFont="1" applyFill="1" applyBorder="1" applyAlignment="1">
      <alignment horizontal="justify" vertical="center" wrapText="1"/>
    </xf>
    <xf numFmtId="0" fontId="0" fillId="4" borderId="46" xfId="0" applyFill="1" applyBorder="1" applyAlignment="1">
      <alignment horizontal="center"/>
    </xf>
    <xf numFmtId="0" fontId="0" fillId="4" borderId="50" xfId="0" applyFill="1" applyBorder="1"/>
    <xf numFmtId="0" fontId="0" fillId="4" borderId="51" xfId="0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4" borderId="51" xfId="0" applyNumberFormat="1" applyFill="1" applyBorder="1" applyAlignment="1">
      <alignment horizontal="center"/>
    </xf>
    <xf numFmtId="164" fontId="0" fillId="4" borderId="60" xfId="0" applyNumberForma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2" fontId="0" fillId="4" borderId="51" xfId="0" applyNumberFormat="1" applyFill="1" applyBorder="1" applyAlignment="1">
      <alignment horizontal="center"/>
    </xf>
    <xf numFmtId="168" fontId="0" fillId="4" borderId="6" xfId="0" applyNumberFormat="1" applyFill="1" applyBorder="1" applyAlignment="1">
      <alignment horizontal="center"/>
    </xf>
    <xf numFmtId="164" fontId="0" fillId="4" borderId="51" xfId="0" applyNumberFormat="1" applyFill="1" applyBorder="1" applyAlignment="1">
      <alignment horizontal="center"/>
    </xf>
    <xf numFmtId="0" fontId="17" fillId="4" borderId="50" xfId="0" applyFont="1" applyFill="1" applyBorder="1"/>
    <xf numFmtId="0" fontId="17" fillId="4" borderId="52" xfId="0" applyFont="1" applyFill="1" applyBorder="1"/>
    <xf numFmtId="0" fontId="0" fillId="4" borderId="53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20" fillId="4" borderId="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1" fontId="0" fillId="4" borderId="6" xfId="0" applyNumberForma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 wrapText="1"/>
    </xf>
    <xf numFmtId="1" fontId="21" fillId="4" borderId="6" xfId="0" applyNumberFormat="1" applyFont="1" applyFill="1" applyBorder="1" applyAlignment="1">
      <alignment horizontal="center" vertical="center" wrapText="1"/>
    </xf>
    <xf numFmtId="9" fontId="0" fillId="4" borderId="6" xfId="1" applyFont="1" applyFill="1" applyBorder="1" applyAlignment="1">
      <alignment horizontal="center" vertical="center"/>
    </xf>
    <xf numFmtId="9" fontId="21" fillId="4" borderId="6" xfId="1" applyFont="1" applyFill="1" applyBorder="1" applyAlignment="1">
      <alignment horizontal="center" vertical="center" wrapText="1"/>
    </xf>
    <xf numFmtId="0" fontId="47" fillId="4" borderId="6" xfId="0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9" fontId="0" fillId="4" borderId="0" xfId="0" applyNumberFormat="1" applyFill="1" applyAlignment="1">
      <alignment horizontal="center" vertical="center"/>
    </xf>
    <xf numFmtId="1" fontId="0" fillId="4" borderId="6" xfId="1" applyNumberFormat="1" applyFont="1" applyFill="1" applyBorder="1" applyAlignment="1">
      <alignment horizontal="center" vertical="center"/>
    </xf>
    <xf numFmtId="9" fontId="0" fillId="4" borderId="0" xfId="1" applyFont="1" applyFill="1" applyAlignment="1">
      <alignment horizontal="center"/>
    </xf>
    <xf numFmtId="9" fontId="0" fillId="4" borderId="0" xfId="1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9" fontId="0" fillId="0" borderId="0" xfId="1" applyFont="1" applyAlignment="1">
      <alignment horizontal="center"/>
    </xf>
    <xf numFmtId="2" fontId="0" fillId="0" borderId="0" xfId="2" applyNumberFormat="1" applyFont="1" applyAlignment="1">
      <alignment horizontal="center"/>
    </xf>
    <xf numFmtId="165" fontId="0" fillId="0" borderId="0" xfId="0" applyNumberFormat="1"/>
    <xf numFmtId="0" fontId="48" fillId="0" borderId="88" xfId="0" applyFont="1" applyBorder="1" applyAlignment="1">
      <alignment horizontal="center" vertical="center"/>
    </xf>
    <xf numFmtId="0" fontId="48" fillId="0" borderId="88" xfId="0" applyFont="1" applyBorder="1" applyAlignment="1">
      <alignment horizontal="center" vertical="center" wrapText="1"/>
    </xf>
    <xf numFmtId="0" fontId="49" fillId="7" borderId="0" xfId="0" applyFont="1" applyFill="1"/>
    <xf numFmtId="1" fontId="49" fillId="7" borderId="0" xfId="0" applyNumberFormat="1" applyFont="1" applyFill="1" applyAlignment="1">
      <alignment horizontal="center" vertical="center"/>
    </xf>
    <xf numFmtId="1" fontId="49" fillId="7" borderId="0" xfId="0" applyNumberFormat="1" applyFont="1" applyFill="1" applyAlignment="1">
      <alignment horizontal="center"/>
    </xf>
    <xf numFmtId="0" fontId="49" fillId="0" borderId="0" xfId="0" applyFont="1"/>
    <xf numFmtId="1" fontId="49" fillId="0" borderId="0" xfId="0" applyNumberFormat="1" applyFont="1" applyAlignment="1">
      <alignment horizontal="center" vertical="center"/>
    </xf>
    <xf numFmtId="1" fontId="49" fillId="0" borderId="0" xfId="0" applyNumberFormat="1" applyFont="1" applyAlignment="1">
      <alignment horizontal="center"/>
    </xf>
    <xf numFmtId="164" fontId="49" fillId="7" borderId="0" xfId="0" applyNumberFormat="1" applyFont="1" applyFill="1" applyAlignment="1">
      <alignment horizontal="center"/>
    </xf>
    <xf numFmtId="9" fontId="49" fillId="7" borderId="0" xfId="1" applyFont="1" applyFill="1" applyAlignment="1">
      <alignment horizontal="center" vertical="center"/>
    </xf>
    <xf numFmtId="9" fontId="49" fillId="0" borderId="0" xfId="1" applyFont="1" applyAlignment="1">
      <alignment horizontal="center" vertical="center"/>
    </xf>
    <xf numFmtId="1" fontId="49" fillId="7" borderId="0" xfId="15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49" fillId="7" borderId="0" xfId="1" applyNumberFormat="1" applyFont="1" applyFill="1" applyAlignment="1">
      <alignment horizontal="center" vertical="center"/>
    </xf>
    <xf numFmtId="1" fontId="49" fillId="0" borderId="0" xfId="1" applyNumberFormat="1" applyFont="1" applyAlignment="1">
      <alignment horizontal="center" vertical="center"/>
    </xf>
    <xf numFmtId="165" fontId="49" fillId="7" borderId="0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wrapText="1"/>
    </xf>
    <xf numFmtId="0" fontId="20" fillId="0" borderId="0" xfId="0" applyFont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35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13" fillId="0" borderId="12" xfId="9" applyFont="1" applyFill="1" applyBorder="1" applyAlignment="1">
      <alignment horizontal="center" vertical="center" wrapText="1"/>
    </xf>
    <xf numFmtId="0" fontId="13" fillId="0" borderId="4" xfId="9" applyFont="1" applyFill="1" applyBorder="1" applyAlignment="1">
      <alignment horizontal="center" vertical="center" wrapText="1"/>
    </xf>
    <xf numFmtId="0" fontId="28" fillId="0" borderId="69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72" xfId="0" applyFill="1" applyBorder="1" applyAlignment="1">
      <alignment horizontal="center"/>
    </xf>
    <xf numFmtId="0" fontId="20" fillId="4" borderId="66" xfId="0" applyFont="1" applyFill="1" applyBorder="1" applyAlignment="1">
      <alignment horizontal="center"/>
    </xf>
    <xf numFmtId="0" fontId="20" fillId="4" borderId="67" xfId="0" applyFont="1" applyFill="1" applyBorder="1" applyAlignment="1">
      <alignment horizontal="center"/>
    </xf>
    <xf numFmtId="0" fontId="20" fillId="4" borderId="68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/>
    </xf>
    <xf numFmtId="0" fontId="20" fillId="4" borderId="48" xfId="0" applyFont="1" applyFill="1" applyBorder="1" applyAlignment="1">
      <alignment horizontal="center"/>
    </xf>
    <xf numFmtId="0" fontId="20" fillId="4" borderId="6" xfId="0" applyFont="1" applyFill="1" applyBorder="1" applyAlignment="1">
      <alignment horizontal="center"/>
    </xf>
    <xf numFmtId="0" fontId="20" fillId="4" borderId="49" xfId="0" applyFont="1" applyFill="1" applyBorder="1" applyAlignment="1">
      <alignment horizontal="center"/>
    </xf>
    <xf numFmtId="0" fontId="20" fillId="4" borderId="47" xfId="0" applyFont="1" applyFill="1" applyBorder="1" applyAlignment="1">
      <alignment horizontal="center"/>
    </xf>
    <xf numFmtId="0" fontId="20" fillId="4" borderId="50" xfId="0" applyFont="1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67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 wrapText="1"/>
    </xf>
    <xf numFmtId="0" fontId="32" fillId="4" borderId="35" xfId="0" applyFont="1" applyFill="1" applyBorder="1" applyAlignment="1">
      <alignment horizontal="center" vertical="center" wrapText="1"/>
    </xf>
    <xf numFmtId="0" fontId="31" fillId="4" borderId="12" xfId="0" applyFont="1" applyFill="1" applyBorder="1" applyAlignment="1">
      <alignment horizontal="center" vertical="center" wrapText="1"/>
    </xf>
    <xf numFmtId="0" fontId="31" fillId="4" borderId="4" xfId="0" applyFont="1" applyFill="1" applyBorder="1" applyAlignment="1">
      <alignment horizontal="center" vertical="center" wrapText="1"/>
    </xf>
    <xf numFmtId="0" fontId="31" fillId="4" borderId="35" xfId="0" applyFont="1" applyFill="1" applyBorder="1" applyAlignment="1">
      <alignment horizontal="center" vertical="center" wrapText="1"/>
    </xf>
    <xf numFmtId="0" fontId="28" fillId="4" borderId="69" xfId="0" applyFont="1" applyFill="1" applyBorder="1" applyAlignment="1">
      <alignment horizontal="center" vertical="center"/>
    </xf>
    <xf numFmtId="0" fontId="28" fillId="4" borderId="34" xfId="0" applyFont="1" applyFill="1" applyBorder="1" applyAlignment="1">
      <alignment horizontal="center" vertical="center"/>
    </xf>
    <xf numFmtId="0" fontId="28" fillId="4" borderId="12" xfId="0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horizontal="center" vertical="center"/>
    </xf>
    <xf numFmtId="0" fontId="28" fillId="4" borderId="35" xfId="0" applyFont="1" applyFill="1" applyBorder="1" applyAlignment="1">
      <alignment horizontal="center" vertical="center"/>
    </xf>
    <xf numFmtId="0" fontId="28" fillId="4" borderId="78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4" borderId="85" xfId="0" applyFont="1" applyFill="1" applyBorder="1" applyAlignment="1">
      <alignment horizontal="center" vertical="center"/>
    </xf>
    <xf numFmtId="0" fontId="23" fillId="3" borderId="83" xfId="0" applyFont="1" applyFill="1" applyBorder="1" applyAlignment="1">
      <alignment horizontal="center" vertical="center"/>
    </xf>
    <xf numFmtId="0" fontId="23" fillId="3" borderId="81" xfId="0" applyFont="1" applyFill="1" applyBorder="1" applyAlignment="1">
      <alignment horizontal="center" vertical="center"/>
    </xf>
    <xf numFmtId="0" fontId="23" fillId="3" borderId="84" xfId="0" applyFont="1" applyFill="1" applyBorder="1" applyAlignment="1">
      <alignment horizontal="center" vertical="center"/>
    </xf>
    <xf numFmtId="0" fontId="23" fillId="3" borderId="82" xfId="0" applyFont="1" applyFill="1" applyBorder="1" applyAlignment="1">
      <alignment horizontal="center" vertical="center"/>
    </xf>
    <xf numFmtId="0" fontId="23" fillId="3" borderId="69" xfId="0" applyFont="1" applyFill="1" applyBorder="1" applyAlignment="1">
      <alignment horizontal="center" vertical="center"/>
    </xf>
    <xf numFmtId="0" fontId="23" fillId="4" borderId="78" xfId="0" applyFont="1" applyFill="1" applyBorder="1" applyAlignment="1">
      <alignment horizontal="center" vertical="center"/>
    </xf>
    <xf numFmtId="0" fontId="23" fillId="4" borderId="71" xfId="0" applyFont="1" applyFill="1" applyBorder="1" applyAlignment="1">
      <alignment horizontal="center" vertical="center"/>
    </xf>
    <xf numFmtId="0" fontId="23" fillId="4" borderId="69" xfId="0" applyFont="1" applyFill="1" applyBorder="1" applyAlignment="1">
      <alignment horizontal="center" vertical="center"/>
    </xf>
    <xf numFmtId="0" fontId="23" fillId="4" borderId="34" xfId="0" applyFont="1" applyFill="1" applyBorder="1" applyAlignment="1">
      <alignment horizontal="center" vertical="center"/>
    </xf>
    <xf numFmtId="0" fontId="23" fillId="4" borderId="42" xfId="0" applyFont="1" applyFill="1" applyBorder="1" applyAlignment="1">
      <alignment horizontal="center" vertical="center"/>
    </xf>
    <xf numFmtId="165" fontId="31" fillId="4" borderId="79" xfId="0" applyNumberFormat="1" applyFont="1" applyFill="1" applyBorder="1" applyAlignment="1">
      <alignment horizontal="center" vertical="center" wrapText="1"/>
    </xf>
    <xf numFmtId="0" fontId="31" fillId="4" borderId="80" xfId="0" applyFont="1" applyFill="1" applyBorder="1" applyAlignment="1">
      <alignment horizontal="center" vertical="center" wrapText="1"/>
    </xf>
    <xf numFmtId="0" fontId="20" fillId="0" borderId="76" xfId="0" applyFont="1" applyBorder="1" applyAlignment="1">
      <alignment horizontal="center"/>
    </xf>
    <xf numFmtId="0" fontId="20" fillId="0" borderId="77" xfId="0" applyFont="1" applyBorder="1" applyAlignment="1">
      <alignment horizontal="center"/>
    </xf>
    <xf numFmtId="0" fontId="20" fillId="0" borderId="75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59" xfId="0" applyFont="1" applyBorder="1" applyAlignment="1">
      <alignment horizontal="center"/>
    </xf>
    <xf numFmtId="0" fontId="20" fillId="0" borderId="73" xfId="0" applyFont="1" applyBorder="1" applyAlignment="1">
      <alignment horizontal="center"/>
    </xf>
    <xf numFmtId="0" fontId="20" fillId="0" borderId="7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</cellXfs>
  <cellStyles count="17">
    <cellStyle name="Cálculo 2" xfId="9" xr:uid="{CC9805AE-0034-410B-8F1F-4DE35F4CCBA6}"/>
    <cellStyle name="Comma 2" xfId="6" xr:uid="{2D401017-6AE4-423C-88F7-4202ABBDB944}"/>
    <cellStyle name="Millares" xfId="16" builtinId="3"/>
    <cellStyle name="Millares 2" xfId="4" xr:uid="{4716FD03-8045-46B5-91E9-B94A73DAB12B}"/>
    <cellStyle name="Moneda" xfId="2" builtinId="4"/>
    <cellStyle name="Moneda 2" xfId="8" xr:uid="{6FD7901D-D055-40DD-917E-E133FE7A9608}"/>
    <cellStyle name="Normal" xfId="0" builtinId="0"/>
    <cellStyle name="Normal 2" xfId="5" xr:uid="{3A5E3D65-E33B-4BBE-AD88-7957789D6C83}"/>
    <cellStyle name="Normal 2 2" xfId="10" xr:uid="{85F30287-FF9C-4BAB-BDFC-4FCF7731E059}"/>
    <cellStyle name="Normal 2 3" xfId="12" xr:uid="{BC522B5D-D85B-4072-BF02-5FFC880521F8}"/>
    <cellStyle name="Normal 2 4" xfId="13" xr:uid="{8B165B9E-AE26-405B-A963-4A832E8B4FC9}"/>
    <cellStyle name="Normal 2 5" xfId="14" xr:uid="{040DC18B-9121-4EFC-85EA-084720B51382}"/>
    <cellStyle name="Normal 3" xfId="7" xr:uid="{CB14882F-75E4-44F5-884B-98A38ECC142B}"/>
    <cellStyle name="Normal 4" xfId="3" xr:uid="{CF3BF855-154E-45E9-919B-A025E3F1B632}"/>
    <cellStyle name="Porcentaje" xfId="1" builtinId="5"/>
    <cellStyle name="Porcentaje 2" xfId="15" xr:uid="{E55AC168-129E-4B1D-B813-E6F2D3865A2D}"/>
    <cellStyle name="Porcentual 2" xfId="11" xr:uid="{ABE0256D-34C4-4EA0-A644-B2D8B3C7FEDA}"/>
  </cellStyles>
  <dxfs count="1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5" formatCode="0.0%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4" formatCode="0.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2" formatCode="0.0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5" formatCode="0.0%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5" formatCode="0.0%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2" formatCode="0.0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4" formatCode="0.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2" formatCode="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4" formatCode="0.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4" formatCode="0.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numFmt numFmtId="164" formatCode="0.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enorite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Tenorite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Tenorite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enorite"/>
        <scheme val="none"/>
      </font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font>
        <strike val="0"/>
        <outline val="0"/>
        <shadow val="0"/>
        <u val="none"/>
        <vertAlign val="baseline"/>
        <sz val="12"/>
        <name val="Tenorite"/>
        <scheme val="none"/>
      </font>
    </dxf>
    <dxf>
      <numFmt numFmtId="1" formatCode="0"/>
      <border diagonalUp="0" diagonalDown="0" outline="0">
        <left/>
        <right/>
        <top style="thin">
          <color indexed="64"/>
        </top>
        <bottom/>
      </border>
    </dxf>
    <dxf>
      <numFmt numFmtId="1" formatCode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4" formatCode="0.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'RFF evolution'!$C$6</c:f>
              <c:strCache>
                <c:ptCount val="1"/>
                <c:pt idx="0">
                  <c:v>Palmaceite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'RFF evolution'!$B$7:$B$18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'RFF evolution'!$C$7:$C$18</c:f>
              <c:numCache>
                <c:formatCode>#,##0</c:formatCode>
                <c:ptCount val="12"/>
                <c:pt idx="0">
                  <c:v>7051</c:v>
                </c:pt>
                <c:pt idx="1">
                  <c:v>7403</c:v>
                </c:pt>
                <c:pt idx="2">
                  <c:v>18240.922999999999</c:v>
                </c:pt>
                <c:pt idx="3">
                  <c:v>18565.827000000001</c:v>
                </c:pt>
                <c:pt idx="4">
                  <c:v>17653.689999999999</c:v>
                </c:pt>
                <c:pt idx="5">
                  <c:v>15371.39</c:v>
                </c:pt>
                <c:pt idx="6">
                  <c:v>14873.19</c:v>
                </c:pt>
                <c:pt idx="7">
                  <c:v>13357.5</c:v>
                </c:pt>
                <c:pt idx="8">
                  <c:v>13283.584999999999</c:v>
                </c:pt>
                <c:pt idx="9">
                  <c:v>13209.67</c:v>
                </c:pt>
                <c:pt idx="10">
                  <c:v>18352.28</c:v>
                </c:pt>
                <c:pt idx="11">
                  <c:v>16130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553-4AEC-AC75-E1E671329194}"/>
            </c:ext>
          </c:extLst>
        </c:ser>
        <c:ser>
          <c:idx val="1"/>
          <c:order val="1"/>
          <c:tx>
            <c:strRef>
              <c:f>'RFF evolution'!$D$6</c:f>
              <c:strCache>
                <c:ptCount val="1"/>
                <c:pt idx="0">
                  <c:v>Aceites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'RFF evolution'!$B$7:$B$18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'RFF evolution'!$D$7:$D$18</c:f>
              <c:numCache>
                <c:formatCode>#,##0</c:formatCode>
                <c:ptCount val="12"/>
                <c:pt idx="0">
                  <c:v>25334.34</c:v>
                </c:pt>
                <c:pt idx="1">
                  <c:v>21591</c:v>
                </c:pt>
                <c:pt idx="2">
                  <c:v>21943.11</c:v>
                </c:pt>
                <c:pt idx="3">
                  <c:v>20593.97</c:v>
                </c:pt>
                <c:pt idx="4">
                  <c:v>20234</c:v>
                </c:pt>
                <c:pt idx="5">
                  <c:v>15314.3</c:v>
                </c:pt>
                <c:pt idx="6">
                  <c:v>13155.33</c:v>
                </c:pt>
                <c:pt idx="7">
                  <c:v>11698.32</c:v>
                </c:pt>
                <c:pt idx="8">
                  <c:v>23873.83</c:v>
                </c:pt>
                <c:pt idx="9">
                  <c:v>15824.07</c:v>
                </c:pt>
                <c:pt idx="10">
                  <c:v>6323.92</c:v>
                </c:pt>
                <c:pt idx="11">
                  <c:v>10321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553-4AEC-AC75-E1E671329194}"/>
            </c:ext>
          </c:extLst>
        </c:ser>
        <c:ser>
          <c:idx val="4"/>
          <c:order val="2"/>
          <c:tx>
            <c:strRef>
              <c:f>'RFF evolution'!$G$6</c:f>
              <c:strCache>
                <c:ptCount val="1"/>
                <c:pt idx="0">
                  <c:v>Gradesa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'RFF evolution'!$B$7:$B$18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'RFF evolution'!$G$7:$G$18</c:f>
              <c:numCache>
                <c:formatCode>#,##0</c:formatCode>
                <c:ptCount val="12"/>
                <c:pt idx="0">
                  <c:v>6475.3190000000004</c:v>
                </c:pt>
                <c:pt idx="1">
                  <c:v>7139</c:v>
                </c:pt>
                <c:pt idx="2">
                  <c:v>9381.8163999999997</c:v>
                </c:pt>
                <c:pt idx="3">
                  <c:v>6810.7950000000001</c:v>
                </c:pt>
                <c:pt idx="4">
                  <c:v>5315.2269999999999</c:v>
                </c:pt>
                <c:pt idx="5">
                  <c:v>4796</c:v>
                </c:pt>
                <c:pt idx="6">
                  <c:v>4488.442</c:v>
                </c:pt>
                <c:pt idx="7">
                  <c:v>5487</c:v>
                </c:pt>
                <c:pt idx="8">
                  <c:v>5431.2979999999998</c:v>
                </c:pt>
                <c:pt idx="9">
                  <c:v>6556.4740000000002</c:v>
                </c:pt>
                <c:pt idx="10">
                  <c:v>6451.6</c:v>
                </c:pt>
                <c:pt idx="11">
                  <c:v>5201.3900000000003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553-4AEC-AC75-E1E6713291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26822160"/>
        <c:axId val="826819760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'RFF evolution'!$E$6</c15:sqref>
                        </c15:formulaRef>
                      </c:ext>
                    </c:extLst>
                    <c:strCache>
                      <c:ptCount val="1"/>
                      <c:pt idx="0">
                        <c:v>Extrarsa 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'RFF evolution'!$B$7:$B$18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'RFF evolution'!$E$7:$E$18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14053</c:v>
                      </c:pt>
                      <c:pt idx="1">
                        <c:v>14614</c:v>
                      </c:pt>
                      <c:pt idx="2">
                        <c:v>17161</c:v>
                      </c:pt>
                      <c:pt idx="3">
                        <c:v>16147.008</c:v>
                      </c:pt>
                      <c:pt idx="4">
                        <c:v>15836.144</c:v>
                      </c:pt>
                      <c:pt idx="5">
                        <c:v>15442.063</c:v>
                      </c:pt>
                      <c:pt idx="6">
                        <c:v>13069.403</c:v>
                      </c:pt>
                      <c:pt idx="7">
                        <c:v>14448.931</c:v>
                      </c:pt>
                      <c:pt idx="8">
                        <c:v>15064.475</c:v>
                      </c:pt>
                      <c:pt idx="9">
                        <c:v>14683</c:v>
                      </c:pt>
                      <c:pt idx="10">
                        <c:v>13677</c:v>
                      </c:pt>
                      <c:pt idx="11">
                        <c:v>13393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2553-4AEC-AC75-E1E671329194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'RFF evolution'!$F$6</c15:sqref>
                        </c15:formulaRef>
                      </c:ext>
                    </c:extLst>
                    <c:strCache>
                      <c:ptCount val="1"/>
                      <c:pt idx="0">
                        <c:v>C.I. Tequendama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'RFF evolution'!$B$7:$B$18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'RFF evolution'!$F$7:$F$18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11129</c:v>
                      </c:pt>
                      <c:pt idx="1">
                        <c:v>11764</c:v>
                      </c:pt>
                      <c:pt idx="2">
                        <c:v>12160</c:v>
                      </c:pt>
                      <c:pt idx="3">
                        <c:v>11271</c:v>
                      </c:pt>
                      <c:pt idx="4">
                        <c:v>12548</c:v>
                      </c:pt>
                      <c:pt idx="5">
                        <c:v>10692</c:v>
                      </c:pt>
                      <c:pt idx="6">
                        <c:v>13155.33</c:v>
                      </c:pt>
                      <c:pt idx="7">
                        <c:v>9452</c:v>
                      </c:pt>
                      <c:pt idx="8">
                        <c:v>9790</c:v>
                      </c:pt>
                      <c:pt idx="9">
                        <c:v>9075</c:v>
                      </c:pt>
                      <c:pt idx="10">
                        <c:v>9992</c:v>
                      </c:pt>
                      <c:pt idx="11">
                        <c:v>10881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553-4AEC-AC75-E1E67132919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'RFF evolution'!$H$6</c15:sqref>
                        </c15:formulaRef>
                      </c:ext>
                    </c:extLst>
                    <c:strCache>
                      <c:ptCount val="1"/>
                      <c:pt idx="0">
                        <c:v>Padelma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'RFF evolution'!$B$7:$B$18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'RFF evolution'!$H$7:$H$18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3834</c:v>
                      </c:pt>
                      <c:pt idx="1">
                        <c:v>3506.55</c:v>
                      </c:pt>
                      <c:pt idx="2">
                        <c:v>3692</c:v>
                      </c:pt>
                      <c:pt idx="3">
                        <c:v>3522</c:v>
                      </c:pt>
                      <c:pt idx="4">
                        <c:v>4092.3</c:v>
                      </c:pt>
                      <c:pt idx="5">
                        <c:v>3254.4</c:v>
                      </c:pt>
                      <c:pt idx="6">
                        <c:v>2631.58</c:v>
                      </c:pt>
                      <c:pt idx="7">
                        <c:v>2638</c:v>
                      </c:pt>
                      <c:pt idx="8">
                        <c:v>2484.4</c:v>
                      </c:pt>
                      <c:pt idx="9">
                        <c:v>2368</c:v>
                      </c:pt>
                      <c:pt idx="10">
                        <c:v>2927.74</c:v>
                      </c:pt>
                      <c:pt idx="11">
                        <c:v>3669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553-4AEC-AC75-E1E671329194}"/>
                  </c:ext>
                </c:extLst>
              </c15:ser>
            </c15:filteredLineSeries>
          </c:ext>
        </c:extLst>
      </c:lineChart>
      <c:catAx>
        <c:axId val="82682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es-CO"/>
          </a:p>
        </c:txPr>
        <c:crossAx val="826819760"/>
        <c:crosses val="autoZero"/>
        <c:auto val="1"/>
        <c:lblAlgn val="ctr"/>
        <c:lblOffset val="100"/>
        <c:noMultiLvlLbl val="0"/>
      </c:catAx>
      <c:valAx>
        <c:axId val="826819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enorite" panose="00000500000000000000" pitchFamily="2" charset="0"/>
                    <a:ea typeface="+mn-ea"/>
                    <a:cs typeface="+mn-cs"/>
                  </a:defRPr>
                </a:pPr>
                <a:r>
                  <a:rPr lang="es-CO"/>
                  <a:t>T</a:t>
                </a:r>
                <a:r>
                  <a:rPr lang="es-CO" baseline="0"/>
                  <a:t>rff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Tenorite" panose="00000500000000000000" pitchFamily="2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es-CO"/>
          </a:p>
        </c:txPr>
        <c:crossAx val="8268221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enorite" panose="00000500000000000000" pitchFamily="2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Datos_Base!$L$3</c:f>
              <c:strCache>
                <c:ptCount val="1"/>
                <c:pt idx="0">
                  <c:v>Biomasa</c:v>
                </c:pt>
              </c:strCache>
            </c:strRef>
          </c:tx>
          <c:spPr>
            <a:pattFill prst="smCheck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Datos_Base!$K$4:$K$9</c:f>
              <c:strCache>
                <c:ptCount val="6"/>
                <c:pt idx="0">
                  <c:v>Planta A</c:v>
                </c:pt>
                <c:pt idx="1">
                  <c:v>Planta B</c:v>
                </c:pt>
                <c:pt idx="2">
                  <c:v>Planta C</c:v>
                </c:pt>
                <c:pt idx="3">
                  <c:v>Planta D</c:v>
                </c:pt>
                <c:pt idx="4">
                  <c:v>Planta E</c:v>
                </c:pt>
                <c:pt idx="5">
                  <c:v>Planta F</c:v>
                </c:pt>
              </c:strCache>
            </c:strRef>
          </c:cat>
          <c:val>
            <c:numRef>
              <c:f>Datos_Base!$L$4:$L$9</c:f>
              <c:numCache>
                <c:formatCode>0</c:formatCode>
                <c:ptCount val="6"/>
                <c:pt idx="0">
                  <c:v>0</c:v>
                </c:pt>
                <c:pt idx="1">
                  <c:v>383.80493427717477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="http://schemas.openxmlformats.org/drawingml/2006/chart">
            <c:ext xmlns:c16="http://schemas.microsoft.com/office/drawing/2014/chart" uri="{C3380CC4-5D6E-409C-BE32-E72D297353CC}">
              <c16:uniqueId val="{00000000-98FF-41A4-90A9-D191FEB67A13}"/>
            </c:ext>
          </c:extLst>
        </c:ser>
        <c:ser>
          <c:idx val="1"/>
          <c:order val="1"/>
          <c:tx>
            <c:strRef>
              <c:f>Datos_Base!$M$3</c:f>
              <c:strCache>
                <c:ptCount val="1"/>
                <c:pt idx="0">
                  <c:v>Biogás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Datos_Base!$K$4:$K$9</c:f>
              <c:strCache>
                <c:ptCount val="6"/>
                <c:pt idx="0">
                  <c:v>Planta A</c:v>
                </c:pt>
                <c:pt idx="1">
                  <c:v>Planta B</c:v>
                </c:pt>
                <c:pt idx="2">
                  <c:v>Planta C</c:v>
                </c:pt>
                <c:pt idx="3">
                  <c:v>Planta D</c:v>
                </c:pt>
                <c:pt idx="4">
                  <c:v>Planta E</c:v>
                </c:pt>
                <c:pt idx="5">
                  <c:v>Planta F</c:v>
                </c:pt>
              </c:strCache>
            </c:strRef>
          </c:cat>
          <c:val>
            <c:numRef>
              <c:f>Datos_Base!$M$4:$M$9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553</c:v>
                </c:pt>
              </c:numCache>
            </c:numRef>
          </c:val>
          <c:extLst xmlns="http://schemas.openxmlformats.org/drawingml/2006/chart">
            <c:ext xmlns:c16="http://schemas.microsoft.com/office/drawing/2014/chart" uri="{C3380CC4-5D6E-409C-BE32-E72D297353CC}">
              <c16:uniqueId val="{00000001-98FF-41A4-90A9-D191FEB67A13}"/>
            </c:ext>
          </c:extLst>
        </c:ser>
        <c:ser>
          <c:idx val="2"/>
          <c:order val="2"/>
          <c:tx>
            <c:strRef>
              <c:f>Datos_Base!$N$3</c:f>
              <c:strCache>
                <c:ptCount val="1"/>
                <c:pt idx="0">
                  <c:v>Red nacional 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Datos_Base!$K$4:$K$9</c:f>
              <c:strCache>
                <c:ptCount val="6"/>
                <c:pt idx="0">
                  <c:v>Planta A</c:v>
                </c:pt>
                <c:pt idx="1">
                  <c:v>Planta B</c:v>
                </c:pt>
                <c:pt idx="2">
                  <c:v>Planta C</c:v>
                </c:pt>
                <c:pt idx="3">
                  <c:v>Planta D</c:v>
                </c:pt>
                <c:pt idx="4">
                  <c:v>Planta E</c:v>
                </c:pt>
                <c:pt idx="5">
                  <c:v>Planta F</c:v>
                </c:pt>
              </c:strCache>
            </c:strRef>
          </c:cat>
          <c:val>
            <c:numRef>
              <c:f>Datos_Base!$N$4:$N$9</c:f>
              <c:numCache>
                <c:formatCode>0</c:formatCode>
                <c:ptCount val="6"/>
                <c:pt idx="0">
                  <c:v>904.8045926919209</c:v>
                </c:pt>
                <c:pt idx="1">
                  <c:v>95.902724351109015</c:v>
                </c:pt>
                <c:pt idx="2">
                  <c:v>356.54428487804876</c:v>
                </c:pt>
                <c:pt idx="3">
                  <c:v>455.84202198731504</c:v>
                </c:pt>
                <c:pt idx="4">
                  <c:v>384.12662207357857</c:v>
                </c:pt>
                <c:pt idx="5">
                  <c:v>158</c:v>
                </c:pt>
              </c:numCache>
            </c:numRef>
          </c:val>
          <c:extLst xmlns="http://schemas.openxmlformats.org/drawingml/2006/chart">
            <c:ext xmlns:c16="http://schemas.microsoft.com/office/drawing/2014/chart" uri="{C3380CC4-5D6E-409C-BE32-E72D297353CC}">
              <c16:uniqueId val="{00000002-98FF-41A4-90A9-D191FEB67A13}"/>
            </c:ext>
          </c:extLst>
        </c:ser>
        <c:ser>
          <c:idx val="3"/>
          <c:order val="3"/>
          <c:tx>
            <c:strRef>
              <c:f>Datos_Base!$O$3</c:f>
              <c:strCache>
                <c:ptCount val="1"/>
                <c:pt idx="0">
                  <c:v>Diésel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Datos_Base!$K$4:$K$9</c:f>
              <c:strCache>
                <c:ptCount val="6"/>
                <c:pt idx="0">
                  <c:v>Planta A</c:v>
                </c:pt>
                <c:pt idx="1">
                  <c:v>Planta B</c:v>
                </c:pt>
                <c:pt idx="2">
                  <c:v>Planta C</c:v>
                </c:pt>
                <c:pt idx="3">
                  <c:v>Planta D</c:v>
                </c:pt>
                <c:pt idx="4">
                  <c:v>Planta E</c:v>
                </c:pt>
                <c:pt idx="5">
                  <c:v>Planta F</c:v>
                </c:pt>
              </c:strCache>
            </c:strRef>
          </c:cat>
          <c:val>
            <c:numRef>
              <c:f>Datos_Base!$O$4:$O$9</c:f>
              <c:numCache>
                <c:formatCode>0</c:formatCode>
                <c:ptCount val="6"/>
                <c:pt idx="0">
                  <c:v>0</c:v>
                </c:pt>
                <c:pt idx="1">
                  <c:v>5.3360140003146137</c:v>
                </c:pt>
                <c:pt idx="2">
                  <c:v>56.122711508581752</c:v>
                </c:pt>
                <c:pt idx="3">
                  <c:v>100.06288287526428</c:v>
                </c:pt>
                <c:pt idx="4">
                  <c:v>35.27137123745819</c:v>
                </c:pt>
                <c:pt idx="5">
                  <c:v>79</c:v>
                </c:pt>
              </c:numCache>
            </c:numRef>
          </c:val>
          <c:extLst xmlns="http://schemas.openxmlformats.org/drawingml/2006/chart">
            <c:ext xmlns:c16="http://schemas.microsoft.com/office/drawing/2014/chart" uri="{C3380CC4-5D6E-409C-BE32-E72D297353CC}">
              <c16:uniqueId val="{00000003-98FF-41A4-90A9-D191FEB67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100"/>
        <c:axId val="566621151"/>
        <c:axId val="566631551"/>
      </c:barChart>
      <c:catAx>
        <c:axId val="566621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enorite" panose="00000500000000000000" pitchFamily="2" charset="0"/>
                    <a:ea typeface="+mn-ea"/>
                    <a:cs typeface="+mn-cs"/>
                  </a:defRPr>
                </a:pPr>
                <a:r>
                  <a:rPr lang="es-CO"/>
                  <a:t>Planta extractora</a:t>
                </a:r>
              </a:p>
            </c:rich>
          </c:tx>
          <c:layout>
            <c:manualLayout>
              <c:xMode val="edge"/>
              <c:yMode val="edge"/>
              <c:x val="0.42763834765053554"/>
              <c:y val="0.94220635730069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enorite" panose="00000500000000000000" pitchFamily="2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cap="none" spc="0" normalizeH="0" baseline="0">
                <a:solidFill>
                  <a:sysClr val="windowText" lastClr="000000"/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es-CO"/>
          </a:p>
        </c:txPr>
        <c:crossAx val="566631551"/>
        <c:crosses val="autoZero"/>
        <c:auto val="1"/>
        <c:lblAlgn val="ctr"/>
        <c:lblOffset val="100"/>
        <c:noMultiLvlLbl val="0"/>
      </c:catAx>
      <c:valAx>
        <c:axId val="56663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enorite" panose="00000500000000000000" pitchFamily="2" charset="0"/>
                    <a:ea typeface="+mn-ea"/>
                    <a:cs typeface="+mn-cs"/>
                  </a:defRPr>
                </a:pPr>
                <a:r>
                  <a:rPr lang="es-CO"/>
                  <a:t>Demanda</a:t>
                </a:r>
                <a:r>
                  <a:rPr lang="es-CO" baseline="0"/>
                  <a:t> electricidad (kW)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enorite" panose="00000500000000000000" pitchFamily="2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es-CO"/>
          </a:p>
        </c:txPr>
        <c:crossAx val="56662115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 xmlns="http://schemas.openxmlformats.org/drawingml/2006/chart"/>
  </c:chart>
  <c:spPr>
    <a:noFill/>
    <a:ln w="9525" cap="flat" cmpd="sng" algn="ctr">
      <a:noFill/>
      <a:round/>
    </a:ln>
    <a:effectLst/>
  </c:spPr>
  <c:txPr>
    <a:bodyPr/>
    <a:lstStyle/>
    <a:p>
      <a:pPr>
        <a:defRPr sz="1000" b="0">
          <a:solidFill>
            <a:sysClr val="windowText" lastClr="000000"/>
          </a:solidFill>
          <a:latin typeface="Tenorite" panose="00000500000000000000" pitchFamily="2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'Scenario 1'!$BL$4</c:f>
              <c:strCache>
                <c:ptCount val="1"/>
                <c:pt idx="0">
                  <c:v>Power generation 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'Scenario 1'!$BF$5:$BF$16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'Scenario 1'!$BL$5:$BL$16</c:f>
              <c:numCache>
                <c:formatCode>0</c:formatCode>
                <c:ptCount val="12"/>
                <c:pt idx="0">
                  <c:v>361717.38641808007</c:v>
                </c:pt>
                <c:pt idx="1">
                  <c:v>379775.04065424</c:v>
                </c:pt>
                <c:pt idx="2">
                  <c:v>935762.16046141589</c:v>
                </c:pt>
                <c:pt idx="3">
                  <c:v>952429.78572262439</c:v>
                </c:pt>
                <c:pt idx="4">
                  <c:v>905637.0170805552</c:v>
                </c:pt>
                <c:pt idx="5">
                  <c:v>788554.67542377126</c:v>
                </c:pt>
                <c:pt idx="6">
                  <c:v>762996.93866111536</c:v>
                </c:pt>
                <c:pt idx="7">
                  <c:v>685241.80812359997</c:v>
                </c:pt>
                <c:pt idx="8">
                  <c:v>681449.95723477681</c:v>
                </c:pt>
                <c:pt idx="9">
                  <c:v>677658.10634595354</c:v>
                </c:pt>
                <c:pt idx="10">
                  <c:v>941474.79171930242</c:v>
                </c:pt>
                <c:pt idx="11">
                  <c:v>827471.48531040014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3-48CB-AC8A-2DE9545D1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04895"/>
        <c:axId val="62205375"/>
      </c:lineChart>
      <c:catAx>
        <c:axId val="6220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205375"/>
        <c:crosses val="autoZero"/>
        <c:auto val="1"/>
        <c:lblAlgn val="ctr"/>
        <c:lblOffset val="100"/>
        <c:noMultiLvlLbl val="0"/>
      </c:catAx>
      <c:valAx>
        <c:axId val="6220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20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Ster_Conv!$B$2</c:f>
              <c:strCache>
                <c:ptCount val="1"/>
                <c:pt idx="0">
                  <c:v>Ste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Ster_Conv!$A$4:$A$43</c:f>
              <c:strCache>
                <c:ptCount val="40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  <c:pt idx="9">
                  <c:v>32</c:v>
                </c:pt>
                <c:pt idx="10">
                  <c:v>35</c:v>
                </c:pt>
                <c:pt idx="11">
                  <c:v>40</c:v>
                </c:pt>
                <c:pt idx="12">
                  <c:v>45</c:v>
                </c:pt>
                <c:pt idx="13">
                  <c:v>50</c:v>
                </c:pt>
                <c:pt idx="14">
                  <c:v>55</c:v>
                </c:pt>
                <c:pt idx="15">
                  <c:v>60</c:v>
                </c:pt>
                <c:pt idx="16">
                  <c:v>65</c:v>
                </c:pt>
                <c:pt idx="17">
                  <c:v> </c:v>
                </c:pt>
                <c:pt idx="18">
                  <c:v>70</c:v>
                </c:pt>
                <c:pt idx="19">
                  <c:v>80</c:v>
                </c:pt>
                <c:pt idx="20">
                  <c:v>85</c:v>
                </c:pt>
                <c:pt idx="21">
                  <c:v>90</c:v>
                </c:pt>
                <c:pt idx="22">
                  <c:v>95</c:v>
                </c:pt>
                <c:pt idx="23">
                  <c:v>100</c:v>
                </c:pt>
                <c:pt idx="24">
                  <c:v>105</c:v>
                </c:pt>
                <c:pt idx="25">
                  <c:v>110</c:v>
                </c:pt>
                <c:pt idx="26">
                  <c:v>115</c:v>
                </c:pt>
                <c:pt idx="27">
                  <c:v>120</c:v>
                </c:pt>
                <c:pt idx="28">
                  <c:v>125</c:v>
                </c:pt>
                <c:pt idx="29">
                  <c:v>130</c:v>
                </c:pt>
                <c:pt idx="30">
                  <c:v>135</c:v>
                </c:pt>
                <c:pt idx="31">
                  <c:v>140</c:v>
                </c:pt>
                <c:pt idx="32">
                  <c:v>145</c:v>
                </c:pt>
                <c:pt idx="33">
                  <c:v>150</c:v>
                </c:pt>
                <c:pt idx="34">
                  <c:v>155</c:v>
                </c:pt>
                <c:pt idx="35">
                  <c:v>160</c:v>
                </c:pt>
                <c:pt idx="36">
                  <c:v>165</c:v>
                </c:pt>
                <c:pt idx="37">
                  <c:v>170</c:v>
                </c:pt>
                <c:pt idx="38">
                  <c:v>175</c:v>
                </c:pt>
                <c:pt idx="39">
                  <c:v>180</c:v>
                </c:pt>
              </c:strCache>
            </c:strRef>
          </c:cat>
          <c:val>
            <c:numRef>
              <c:f>Ster_Conv!$B$4:$B$43</c:f>
              <c:numCache>
                <c:formatCode>General</c:formatCode>
                <c:ptCount val="40"/>
                <c:pt idx="0">
                  <c:v>0</c:v>
                </c:pt>
                <c:pt idx="1">
                  <c:v>20</c:v>
                </c:pt>
                <c:pt idx="2">
                  <c:v>35</c:v>
                </c:pt>
                <c:pt idx="3">
                  <c:v>5</c:v>
                </c:pt>
                <c:pt idx="4">
                  <c:v>35</c:v>
                </c:pt>
                <c:pt idx="5">
                  <c:v>5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20</c:v>
                </c:pt>
                <c:pt idx="31">
                  <c:v>40</c:v>
                </c:pt>
                <c:pt idx="32">
                  <c:v>5</c:v>
                </c:pt>
                <c:pt idx="33">
                  <c:v>40</c:v>
                </c:pt>
                <c:pt idx="34">
                  <c:v>5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E-4258-A627-4C275BD65478}"/>
            </c:ext>
          </c:extLst>
        </c:ser>
        <c:ser>
          <c:idx val="1"/>
          <c:order val="1"/>
          <c:tx>
            <c:strRef>
              <c:f>Ster_Conv!$C$2</c:f>
              <c:strCache>
                <c:ptCount val="1"/>
                <c:pt idx="0">
                  <c:v>Ste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Ster_Conv!$A$4:$A$43</c:f>
              <c:strCache>
                <c:ptCount val="40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  <c:pt idx="9">
                  <c:v>32</c:v>
                </c:pt>
                <c:pt idx="10">
                  <c:v>35</c:v>
                </c:pt>
                <c:pt idx="11">
                  <c:v>40</c:v>
                </c:pt>
                <c:pt idx="12">
                  <c:v>45</c:v>
                </c:pt>
                <c:pt idx="13">
                  <c:v>50</c:v>
                </c:pt>
                <c:pt idx="14">
                  <c:v>55</c:v>
                </c:pt>
                <c:pt idx="15">
                  <c:v>60</c:v>
                </c:pt>
                <c:pt idx="16">
                  <c:v>65</c:v>
                </c:pt>
                <c:pt idx="17">
                  <c:v> </c:v>
                </c:pt>
                <c:pt idx="18">
                  <c:v>70</c:v>
                </c:pt>
                <c:pt idx="19">
                  <c:v>80</c:v>
                </c:pt>
                <c:pt idx="20">
                  <c:v>85</c:v>
                </c:pt>
                <c:pt idx="21">
                  <c:v>90</c:v>
                </c:pt>
                <c:pt idx="22">
                  <c:v>95</c:v>
                </c:pt>
                <c:pt idx="23">
                  <c:v>100</c:v>
                </c:pt>
                <c:pt idx="24">
                  <c:v>105</c:v>
                </c:pt>
                <c:pt idx="25">
                  <c:v>110</c:v>
                </c:pt>
                <c:pt idx="26">
                  <c:v>115</c:v>
                </c:pt>
                <c:pt idx="27">
                  <c:v>120</c:v>
                </c:pt>
                <c:pt idx="28">
                  <c:v>125</c:v>
                </c:pt>
                <c:pt idx="29">
                  <c:v>130</c:v>
                </c:pt>
                <c:pt idx="30">
                  <c:v>135</c:v>
                </c:pt>
                <c:pt idx="31">
                  <c:v>140</c:v>
                </c:pt>
                <c:pt idx="32">
                  <c:v>145</c:v>
                </c:pt>
                <c:pt idx="33">
                  <c:v>150</c:v>
                </c:pt>
                <c:pt idx="34">
                  <c:v>155</c:v>
                </c:pt>
                <c:pt idx="35">
                  <c:v>160</c:v>
                </c:pt>
                <c:pt idx="36">
                  <c:v>165</c:v>
                </c:pt>
                <c:pt idx="37">
                  <c:v>170</c:v>
                </c:pt>
                <c:pt idx="38">
                  <c:v>175</c:v>
                </c:pt>
                <c:pt idx="39">
                  <c:v>180</c:v>
                </c:pt>
              </c:strCache>
            </c:strRef>
          </c:cat>
          <c:val>
            <c:numRef>
              <c:f>Ster_Conv!$C$4:$C$43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35</c:v>
                </c:pt>
                <c:pt idx="12">
                  <c:v>5</c:v>
                </c:pt>
                <c:pt idx="13">
                  <c:v>35</c:v>
                </c:pt>
                <c:pt idx="14">
                  <c:v>5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6E-4258-A627-4C275BD65478}"/>
            </c:ext>
          </c:extLst>
        </c:ser>
        <c:ser>
          <c:idx val="2"/>
          <c:order val="2"/>
          <c:tx>
            <c:strRef>
              <c:f>Ster_Conv!$D$2</c:f>
              <c:strCache>
                <c:ptCount val="1"/>
                <c:pt idx="0">
                  <c:v>Ste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Ster_Conv!$A$4:$A$43</c:f>
              <c:strCache>
                <c:ptCount val="40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  <c:pt idx="9">
                  <c:v>32</c:v>
                </c:pt>
                <c:pt idx="10">
                  <c:v>35</c:v>
                </c:pt>
                <c:pt idx="11">
                  <c:v>40</c:v>
                </c:pt>
                <c:pt idx="12">
                  <c:v>45</c:v>
                </c:pt>
                <c:pt idx="13">
                  <c:v>50</c:v>
                </c:pt>
                <c:pt idx="14">
                  <c:v>55</c:v>
                </c:pt>
                <c:pt idx="15">
                  <c:v>60</c:v>
                </c:pt>
                <c:pt idx="16">
                  <c:v>65</c:v>
                </c:pt>
                <c:pt idx="17">
                  <c:v> </c:v>
                </c:pt>
                <c:pt idx="18">
                  <c:v>70</c:v>
                </c:pt>
                <c:pt idx="19">
                  <c:v>80</c:v>
                </c:pt>
                <c:pt idx="20">
                  <c:v>85</c:v>
                </c:pt>
                <c:pt idx="21">
                  <c:v>90</c:v>
                </c:pt>
                <c:pt idx="22">
                  <c:v>95</c:v>
                </c:pt>
                <c:pt idx="23">
                  <c:v>100</c:v>
                </c:pt>
                <c:pt idx="24">
                  <c:v>105</c:v>
                </c:pt>
                <c:pt idx="25">
                  <c:v>110</c:v>
                </c:pt>
                <c:pt idx="26">
                  <c:v>115</c:v>
                </c:pt>
                <c:pt idx="27">
                  <c:v>120</c:v>
                </c:pt>
                <c:pt idx="28">
                  <c:v>125</c:v>
                </c:pt>
                <c:pt idx="29">
                  <c:v>130</c:v>
                </c:pt>
                <c:pt idx="30">
                  <c:v>135</c:v>
                </c:pt>
                <c:pt idx="31">
                  <c:v>140</c:v>
                </c:pt>
                <c:pt idx="32">
                  <c:v>145</c:v>
                </c:pt>
                <c:pt idx="33">
                  <c:v>150</c:v>
                </c:pt>
                <c:pt idx="34">
                  <c:v>155</c:v>
                </c:pt>
                <c:pt idx="35">
                  <c:v>160</c:v>
                </c:pt>
                <c:pt idx="36">
                  <c:v>165</c:v>
                </c:pt>
                <c:pt idx="37">
                  <c:v>170</c:v>
                </c:pt>
                <c:pt idx="38">
                  <c:v>175</c:v>
                </c:pt>
                <c:pt idx="39">
                  <c:v>180</c:v>
                </c:pt>
              </c:strCache>
            </c:strRef>
          </c:cat>
          <c:val>
            <c:numRef>
              <c:f>Ster_Conv!$D$4:$D$43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</c:v>
                </c:pt>
                <c:pt idx="20">
                  <c:v>35</c:v>
                </c:pt>
                <c:pt idx="21">
                  <c:v>5</c:v>
                </c:pt>
                <c:pt idx="22">
                  <c:v>35</c:v>
                </c:pt>
                <c:pt idx="23">
                  <c:v>5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30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6E-4258-A627-4C275BD65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206079"/>
        <c:axId val="876236319"/>
      </c:lineChart>
      <c:catAx>
        <c:axId val="8762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236319"/>
        <c:crosses val="autoZero"/>
        <c:auto val="1"/>
        <c:lblAlgn val="ctr"/>
        <c:lblOffset val="100"/>
        <c:noMultiLvlLbl val="0"/>
      </c:catAx>
      <c:valAx>
        <c:axId val="87623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20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EE_PB!$K$16</c:f>
              <c:strCache>
                <c:ptCount val="1"/>
                <c:pt idx="0">
                  <c:v>Combustion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EE_PB!$L$14:$AC$15</c:f>
              <c:multiLvlStrCache>
                <c:ptCount val="18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  <c:pt idx="3">
                    <c:v>LB</c:v>
                  </c:pt>
                  <c:pt idx="4">
                    <c:v>ERI - 1</c:v>
                  </c:pt>
                  <c:pt idx="5">
                    <c:v>ERI - 2</c:v>
                  </c:pt>
                  <c:pt idx="6">
                    <c:v>LB</c:v>
                  </c:pt>
                  <c:pt idx="7">
                    <c:v>ERI - 1</c:v>
                  </c:pt>
                  <c:pt idx="8">
                    <c:v>ERI - 2</c:v>
                  </c:pt>
                  <c:pt idx="9">
                    <c:v>LB</c:v>
                  </c:pt>
                  <c:pt idx="10">
                    <c:v>ERI - 1</c:v>
                  </c:pt>
                  <c:pt idx="11">
                    <c:v>ERI - 2</c:v>
                  </c:pt>
                  <c:pt idx="12">
                    <c:v>LB</c:v>
                  </c:pt>
                  <c:pt idx="13">
                    <c:v>ERI - 1</c:v>
                  </c:pt>
                  <c:pt idx="14">
                    <c:v>ERI - 2</c:v>
                  </c:pt>
                  <c:pt idx="15">
                    <c:v>LB</c:v>
                  </c:pt>
                  <c:pt idx="16">
                    <c:v>ERI - 1</c:v>
                  </c:pt>
                  <c:pt idx="17">
                    <c:v>ERI - 2</c:v>
                  </c:pt>
                </c:lvl>
                <c:lvl>
                  <c:pt idx="0">
                    <c:v>Planta A</c:v>
                  </c:pt>
                  <c:pt idx="3">
                    <c:v>Planta B</c:v>
                  </c:pt>
                  <c:pt idx="6">
                    <c:v>Planta C</c:v>
                  </c:pt>
                  <c:pt idx="9">
                    <c:v>Planta D</c:v>
                  </c:pt>
                  <c:pt idx="12">
                    <c:v>Planta E</c:v>
                  </c:pt>
                  <c:pt idx="15">
                    <c:v>Planta F</c:v>
                  </c:pt>
                </c:lvl>
              </c:multiLvlStrCache>
            </c:multiLvlStrRef>
          </c:cat>
          <c:val>
            <c:numRef>
              <c:f>EE_PB!$L$16:$AC$16</c:f>
              <c:numCache>
                <c:formatCode>0</c:formatCode>
                <c:ptCount val="18"/>
                <c:pt idx="0">
                  <c:v>850</c:v>
                </c:pt>
                <c:pt idx="1">
                  <c:v>4950</c:v>
                </c:pt>
                <c:pt idx="2" formatCode="General">
                  <c:v>2100</c:v>
                </c:pt>
                <c:pt idx="4">
                  <c:v>6600</c:v>
                </c:pt>
                <c:pt idx="5" formatCode="General">
                  <c:v>2800</c:v>
                </c:pt>
                <c:pt idx="7">
                  <c:v>4950</c:v>
                </c:pt>
                <c:pt idx="8" formatCode="General">
                  <c:v>2100</c:v>
                </c:pt>
                <c:pt idx="9">
                  <c:v>0</c:v>
                </c:pt>
                <c:pt idx="10">
                  <c:v>3960</c:v>
                </c:pt>
                <c:pt idx="11" formatCode="General">
                  <c:v>1680</c:v>
                </c:pt>
                <c:pt idx="12">
                  <c:v>0</c:v>
                </c:pt>
                <c:pt idx="13">
                  <c:v>3960</c:v>
                </c:pt>
                <c:pt idx="14" formatCode="General">
                  <c:v>1680</c:v>
                </c:pt>
                <c:pt idx="15">
                  <c:v>0</c:v>
                </c:pt>
                <c:pt idx="16">
                  <c:v>3300</c:v>
                </c:pt>
                <c:pt idx="17" formatCode="General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A-4C41-B950-52970546FD80}"/>
            </c:ext>
          </c:extLst>
        </c:ser>
        <c:ser>
          <c:idx val="1"/>
          <c:order val="1"/>
          <c:tx>
            <c:strRef>
              <c:f>EE_PB!$K$17</c:f>
              <c:strCache>
                <c:ptCount val="1"/>
                <c:pt idx="0">
                  <c:v>Digestión anerobica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EE_PB!$L$14:$AC$15</c:f>
              <c:multiLvlStrCache>
                <c:ptCount val="18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  <c:pt idx="3">
                    <c:v>LB</c:v>
                  </c:pt>
                  <c:pt idx="4">
                    <c:v>ERI - 1</c:v>
                  </c:pt>
                  <c:pt idx="5">
                    <c:v>ERI - 2</c:v>
                  </c:pt>
                  <c:pt idx="6">
                    <c:v>LB</c:v>
                  </c:pt>
                  <c:pt idx="7">
                    <c:v>ERI - 1</c:v>
                  </c:pt>
                  <c:pt idx="8">
                    <c:v>ERI - 2</c:v>
                  </c:pt>
                  <c:pt idx="9">
                    <c:v>LB</c:v>
                  </c:pt>
                  <c:pt idx="10">
                    <c:v>ERI - 1</c:v>
                  </c:pt>
                  <c:pt idx="11">
                    <c:v>ERI - 2</c:v>
                  </c:pt>
                  <c:pt idx="12">
                    <c:v>LB</c:v>
                  </c:pt>
                  <c:pt idx="13">
                    <c:v>ERI - 1</c:v>
                  </c:pt>
                  <c:pt idx="14">
                    <c:v>ERI - 2</c:v>
                  </c:pt>
                  <c:pt idx="15">
                    <c:v>LB</c:v>
                  </c:pt>
                  <c:pt idx="16">
                    <c:v>ERI - 1</c:v>
                  </c:pt>
                  <c:pt idx="17">
                    <c:v>ERI - 2</c:v>
                  </c:pt>
                </c:lvl>
                <c:lvl>
                  <c:pt idx="0">
                    <c:v>Planta A</c:v>
                  </c:pt>
                  <c:pt idx="3">
                    <c:v>Planta B</c:v>
                  </c:pt>
                  <c:pt idx="6">
                    <c:v>Planta C</c:v>
                  </c:pt>
                  <c:pt idx="9">
                    <c:v>Planta D</c:v>
                  </c:pt>
                  <c:pt idx="12">
                    <c:v>Planta E</c:v>
                  </c:pt>
                  <c:pt idx="15">
                    <c:v>Planta F</c:v>
                  </c:pt>
                </c:lvl>
              </c:multiLvlStrCache>
            </c:multiLvlStrRef>
          </c:cat>
          <c:val>
            <c:numRef>
              <c:f>EE_PB!$L$17:$AC$17</c:f>
              <c:numCache>
                <c:formatCode>General</c:formatCode>
                <c:ptCount val="18"/>
                <c:pt idx="0">
                  <c:v>0</c:v>
                </c:pt>
                <c:pt idx="1">
                  <c:v>1590</c:v>
                </c:pt>
                <c:pt idx="2">
                  <c:v>4110</c:v>
                </c:pt>
                <c:pt idx="4">
                  <c:v>2120</c:v>
                </c:pt>
                <c:pt idx="5">
                  <c:v>5480</c:v>
                </c:pt>
                <c:pt idx="7">
                  <c:v>1590</c:v>
                </c:pt>
                <c:pt idx="8">
                  <c:v>4110</c:v>
                </c:pt>
                <c:pt idx="9">
                  <c:v>600</c:v>
                </c:pt>
                <c:pt idx="10">
                  <c:v>1272</c:v>
                </c:pt>
                <c:pt idx="11">
                  <c:v>3288</c:v>
                </c:pt>
                <c:pt idx="12">
                  <c:v>0</c:v>
                </c:pt>
                <c:pt idx="13">
                  <c:v>1272</c:v>
                </c:pt>
                <c:pt idx="14">
                  <c:v>3288</c:v>
                </c:pt>
                <c:pt idx="15">
                  <c:v>0</c:v>
                </c:pt>
                <c:pt idx="16">
                  <c:v>1060</c:v>
                </c:pt>
                <c:pt idx="17">
                  <c:v>2740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7A-4C41-B950-52970546F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5993423"/>
        <c:axId val="1213262431"/>
      </c:barChart>
      <c:catAx>
        <c:axId val="76599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3262431"/>
        <c:crosses val="autoZero"/>
        <c:auto val="1"/>
        <c:lblAlgn val="ctr"/>
        <c:lblOffset val="100"/>
        <c:noMultiLvlLbl val="0"/>
      </c:catAx>
      <c:valAx>
        <c:axId val="121326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599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EE_PB!$K$26</c:f>
              <c:strCache>
                <c:ptCount val="1"/>
                <c:pt idx="0">
                  <c:v>Combustión</c:v>
                </c:pt>
              </c:strCache>
            </c:strRef>
          </c:tx>
          <c:spPr>
            <a:pattFill prst="pct10">
              <a:fgClr>
                <a:schemeClr val="tx1">
                  <a:lumMod val="75000"/>
                  <a:lumOff val="25000"/>
                </a:schemeClr>
              </a:fgClr>
              <a:bgClr>
                <a:schemeClr val="bg1"/>
              </a:bgClr>
            </a:pattFill>
            <a:ln w="25400">
              <a:solidFill>
                <a:schemeClr val="tx1"/>
              </a:solidFill>
            </a:ln>
          </c:spPr>
          <c:invertIfNegative val="0"/>
          <c:cat>
            <c:multiLvlStrRef>
              <c:f>EE_PB!$L$20:$AC$21</c:f>
              <c:multiLvlStrCache>
                <c:ptCount val="18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  <c:pt idx="3">
                    <c:v>LB</c:v>
                  </c:pt>
                  <c:pt idx="4">
                    <c:v>ERI - 1</c:v>
                  </c:pt>
                  <c:pt idx="5">
                    <c:v>ERI - 2</c:v>
                  </c:pt>
                  <c:pt idx="6">
                    <c:v>LB</c:v>
                  </c:pt>
                  <c:pt idx="7">
                    <c:v>ERI - 1</c:v>
                  </c:pt>
                  <c:pt idx="8">
                    <c:v>ERI - 2</c:v>
                  </c:pt>
                  <c:pt idx="9">
                    <c:v>LB</c:v>
                  </c:pt>
                  <c:pt idx="10">
                    <c:v>ERI - 1</c:v>
                  </c:pt>
                  <c:pt idx="11">
                    <c:v>ERI - 2</c:v>
                  </c:pt>
                  <c:pt idx="12">
                    <c:v>LB</c:v>
                  </c:pt>
                  <c:pt idx="13">
                    <c:v>ERI - 1</c:v>
                  </c:pt>
                  <c:pt idx="14">
                    <c:v>ERI - 2</c:v>
                  </c:pt>
                  <c:pt idx="15">
                    <c:v>LB</c:v>
                  </c:pt>
                  <c:pt idx="16">
                    <c:v>ERI - 1</c:v>
                  </c:pt>
                  <c:pt idx="17">
                    <c:v>ERI - 2</c:v>
                  </c:pt>
                </c:lvl>
                <c:lvl>
                  <c:pt idx="0">
                    <c:v>Planta A</c:v>
                  </c:pt>
                  <c:pt idx="3">
                    <c:v>Planta B</c:v>
                  </c:pt>
                  <c:pt idx="6">
                    <c:v>Planta C</c:v>
                  </c:pt>
                  <c:pt idx="9">
                    <c:v>Planta D</c:v>
                  </c:pt>
                  <c:pt idx="12">
                    <c:v>Planta E</c:v>
                  </c:pt>
                  <c:pt idx="15">
                    <c:v>Planta F</c:v>
                  </c:pt>
                </c:lvl>
              </c:multiLvlStrCache>
            </c:multiLvlStrRef>
          </c:cat>
          <c:val>
            <c:numRef>
              <c:f>EE_PB!$L$26:$AC$26</c:f>
              <c:numCache>
                <c:formatCode>0</c:formatCode>
                <c:ptCount val="18"/>
                <c:pt idx="0">
                  <c:v>850</c:v>
                </c:pt>
                <c:pt idx="1">
                  <c:v>5199.8497753273205</c:v>
                </c:pt>
                <c:pt idx="2">
                  <c:v>728.33550158979301</c:v>
                </c:pt>
                <c:pt idx="3" formatCode="General">
                  <c:v>0</c:v>
                </c:pt>
                <c:pt idx="4">
                  <c:v>5922.8578098823127</c:v>
                </c:pt>
                <c:pt idx="5">
                  <c:v>588.35148889594552</c:v>
                </c:pt>
                <c:pt idx="6" formatCode="General">
                  <c:v>0</c:v>
                </c:pt>
                <c:pt idx="7">
                  <c:v>4866.7782946688967</c:v>
                </c:pt>
                <c:pt idx="8">
                  <c:v>612.22391999999991</c:v>
                </c:pt>
                <c:pt idx="9" formatCode="General">
                  <c:v>0</c:v>
                </c:pt>
                <c:pt idx="10">
                  <c:v>3273.7723004080331</c:v>
                </c:pt>
                <c:pt idx="11">
                  <c:v>211.35683774712658</c:v>
                </c:pt>
                <c:pt idx="12" formatCode="General">
                  <c:v>0</c:v>
                </c:pt>
                <c:pt idx="13">
                  <c:v>4892.6597644962912</c:v>
                </c:pt>
                <c:pt idx="14">
                  <c:v>704.95523516918115</c:v>
                </c:pt>
                <c:pt idx="15" formatCode="General">
                  <c:v>0</c:v>
                </c:pt>
                <c:pt idx="16">
                  <c:v>3242.693977676644</c:v>
                </c:pt>
                <c:pt idx="17">
                  <c:v>365.22772676232012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4A9E-40ED-BBB9-467C65011D7C}"/>
            </c:ext>
          </c:extLst>
        </c:ser>
        <c:ser>
          <c:idx val="5"/>
          <c:order val="1"/>
          <c:tx>
            <c:strRef>
              <c:f>EE_PB!$K$27</c:f>
              <c:strCache>
                <c:ptCount val="1"/>
                <c:pt idx="0">
                  <c:v>Digestión anerobica</c:v>
                </c:pt>
              </c:strCache>
            </c:strRef>
          </c:tx>
          <c:spPr>
            <a:pattFill prst="dkUpDiag">
              <a:fgClr>
                <a:schemeClr val="bg2">
                  <a:lumMod val="25000"/>
                </a:schemeClr>
              </a:fgClr>
              <a:bgClr>
                <a:schemeClr val="bg1"/>
              </a:bgClr>
            </a:pattFill>
            <a:ln w="25400">
              <a:solidFill>
                <a:schemeClr val="tx1"/>
              </a:solidFill>
            </a:ln>
          </c:spPr>
          <c:invertIfNegative val="0"/>
          <c:cat>
            <c:multiLvlStrRef>
              <c:f>EE_PB!$L$20:$AC$21</c:f>
              <c:multiLvlStrCache>
                <c:ptCount val="18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  <c:pt idx="3">
                    <c:v>LB</c:v>
                  </c:pt>
                  <c:pt idx="4">
                    <c:v>ERI - 1</c:v>
                  </c:pt>
                  <c:pt idx="5">
                    <c:v>ERI - 2</c:v>
                  </c:pt>
                  <c:pt idx="6">
                    <c:v>LB</c:v>
                  </c:pt>
                  <c:pt idx="7">
                    <c:v>ERI - 1</c:v>
                  </c:pt>
                  <c:pt idx="8">
                    <c:v>ERI - 2</c:v>
                  </c:pt>
                  <c:pt idx="9">
                    <c:v>LB</c:v>
                  </c:pt>
                  <c:pt idx="10">
                    <c:v>ERI - 1</c:v>
                  </c:pt>
                  <c:pt idx="11">
                    <c:v>ERI - 2</c:v>
                  </c:pt>
                  <c:pt idx="12">
                    <c:v>LB</c:v>
                  </c:pt>
                  <c:pt idx="13">
                    <c:v>ERI - 1</c:v>
                  </c:pt>
                  <c:pt idx="14">
                    <c:v>ERI - 2</c:v>
                  </c:pt>
                  <c:pt idx="15">
                    <c:v>LB</c:v>
                  </c:pt>
                  <c:pt idx="16">
                    <c:v>ERI - 1</c:v>
                  </c:pt>
                  <c:pt idx="17">
                    <c:v>ERI - 2</c:v>
                  </c:pt>
                </c:lvl>
                <c:lvl>
                  <c:pt idx="0">
                    <c:v>Planta A</c:v>
                  </c:pt>
                  <c:pt idx="3">
                    <c:v>Planta B</c:v>
                  </c:pt>
                  <c:pt idx="6">
                    <c:v>Planta C</c:v>
                  </c:pt>
                  <c:pt idx="9">
                    <c:v>Planta D</c:v>
                  </c:pt>
                  <c:pt idx="12">
                    <c:v>Planta E</c:v>
                  </c:pt>
                  <c:pt idx="15">
                    <c:v>Planta F</c:v>
                  </c:pt>
                </c:lvl>
              </c:multiLvlStrCache>
            </c:multiLvlStrRef>
          </c:cat>
          <c:val>
            <c:numRef>
              <c:f>EE_PB!$L$27:$AC$27</c:f>
              <c:numCache>
                <c:formatCode>0</c:formatCode>
                <c:ptCount val="18"/>
                <c:pt idx="0" formatCode="General">
                  <c:v>0</c:v>
                </c:pt>
                <c:pt idx="1">
                  <c:v>1462.76976384</c:v>
                </c:pt>
                <c:pt idx="2">
                  <c:v>3055.7279604095997</c:v>
                </c:pt>
                <c:pt idx="3">
                  <c:v>0</c:v>
                </c:pt>
                <c:pt idx="4">
                  <c:v>3215.4977567999999</c:v>
                </c:pt>
                <c:pt idx="5">
                  <c:v>4443.1995619199997</c:v>
                </c:pt>
                <c:pt idx="6">
                  <c:v>0</c:v>
                </c:pt>
                <c:pt idx="7">
                  <c:v>1804.9764499200001</c:v>
                </c:pt>
                <c:pt idx="8">
                  <c:v>3252.8490912287994</c:v>
                </c:pt>
                <c:pt idx="9">
                  <c:v>600</c:v>
                </c:pt>
                <c:pt idx="10">
                  <c:v>2434.2023059199996</c:v>
                </c:pt>
                <c:pt idx="11">
                  <c:v>2791.3477756953598</c:v>
                </c:pt>
                <c:pt idx="12">
                  <c:v>0</c:v>
                </c:pt>
                <c:pt idx="13">
                  <c:v>2400.6268943999999</c:v>
                </c:pt>
                <c:pt idx="14">
                  <c:v>3459.1663779724799</c:v>
                </c:pt>
                <c:pt idx="15">
                  <c:v>0</c:v>
                </c:pt>
                <c:pt idx="16">
                  <c:v>1248.61922304</c:v>
                </c:pt>
                <c:pt idx="17">
                  <c:v>2132.6906350848003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4A9E-40ED-BBB9-467C65011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269615"/>
        <c:axId val="718282671"/>
        <c:extLst>
          <c:ext xmlns:c15="http://schemas.microsoft.com/office/drawing/2012/chart" uri="{02D57815-91ED-43cb-92C2-25804820EDAC}">
            <c15:filteredBarSeries>
              <c15:ser>
                <c:idx val="6"/>
                <c:order val="2"/>
                <c:tx>
                  <c:strRef>
                    <c:extLst>
                      <c:ext uri="{02D57815-91ED-43cb-92C2-25804820EDAC}">
                        <c15:formulaRef>
                          <c15:sqref>EE_PB!$K$26</c15:sqref>
                        </c15:formulaRef>
                      </c:ext>
                    </c:extLst>
                    <c:strCache>
                      <c:ptCount val="1"/>
                      <c:pt idx="0">
                        <c:v>Combustión</c:v>
                      </c:pt>
                    </c:strCache>
                  </c:strRef>
                </c:tx>
                <c:spPr>
                  <a:pattFill prst="pct10">
                    <a:fgClr>
                      <a:schemeClr val="tx1">
                        <a:lumMod val="75000"/>
                        <a:lumOff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EE_PB!$L$26:$AC$26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>
                        <c:v>850</c:v>
                      </c:pt>
                      <c:pt idx="1">
                        <c:v>5199.8497753273205</c:v>
                      </c:pt>
                      <c:pt idx="2">
                        <c:v>728.33550158979301</c:v>
                      </c:pt>
                      <c:pt idx="3" formatCode="General">
                        <c:v>0</c:v>
                      </c:pt>
                      <c:pt idx="4">
                        <c:v>5922.8578098823127</c:v>
                      </c:pt>
                      <c:pt idx="5">
                        <c:v>588.35148889594552</c:v>
                      </c:pt>
                      <c:pt idx="6" formatCode="General">
                        <c:v>0</c:v>
                      </c:pt>
                      <c:pt idx="7">
                        <c:v>4866.7782946688967</c:v>
                      </c:pt>
                      <c:pt idx="8">
                        <c:v>612.22391999999991</c:v>
                      </c:pt>
                      <c:pt idx="9" formatCode="General">
                        <c:v>0</c:v>
                      </c:pt>
                      <c:pt idx="10">
                        <c:v>3273.7723004080331</c:v>
                      </c:pt>
                      <c:pt idx="11">
                        <c:v>211.35683774712658</c:v>
                      </c:pt>
                      <c:pt idx="12" formatCode="General">
                        <c:v>0</c:v>
                      </c:pt>
                      <c:pt idx="13">
                        <c:v>4892.6597644962912</c:v>
                      </c:pt>
                      <c:pt idx="14">
                        <c:v>704.95523516918115</c:v>
                      </c:pt>
                      <c:pt idx="15" formatCode="General">
                        <c:v>0</c:v>
                      </c:pt>
                      <c:pt idx="16">
                        <c:v>3242.693977676644</c:v>
                      </c:pt>
                      <c:pt idx="17">
                        <c:v>365.22772676232012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2-4A9E-40ED-BBB9-467C65011D7C}"/>
                  </c:ext>
                </c:extLst>
              </c15:ser>
            </c15:filteredBarSeries>
            <c15:filteredBar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EE_PB!$K$27</c15:sqref>
                        </c15:formulaRef>
                      </c:ext>
                    </c:extLst>
                    <c:strCache>
                      <c:ptCount val="1"/>
                      <c:pt idx="0">
                        <c:v>Digestión anerobica</c:v>
                      </c:pt>
                    </c:strCache>
                  </c:strRef>
                </c:tx>
                <c:spPr>
                  <a:pattFill prst="dkUpDiag">
                    <a:fgClr>
                      <a:schemeClr val="bg2">
                        <a:lumMod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EE_PB!$L$27:$AC$27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 formatCode="General">
                        <c:v>0</c:v>
                      </c:pt>
                      <c:pt idx="1">
                        <c:v>1462.76976384</c:v>
                      </c:pt>
                      <c:pt idx="2">
                        <c:v>3055.7279604095997</c:v>
                      </c:pt>
                      <c:pt idx="3">
                        <c:v>0</c:v>
                      </c:pt>
                      <c:pt idx="4">
                        <c:v>3215.4977567999999</c:v>
                      </c:pt>
                      <c:pt idx="5">
                        <c:v>4443.1995619199997</c:v>
                      </c:pt>
                      <c:pt idx="6">
                        <c:v>0</c:v>
                      </c:pt>
                      <c:pt idx="7">
                        <c:v>1804.9764499200001</c:v>
                      </c:pt>
                      <c:pt idx="8">
                        <c:v>3252.8490912287994</c:v>
                      </c:pt>
                      <c:pt idx="9">
                        <c:v>600</c:v>
                      </c:pt>
                      <c:pt idx="10">
                        <c:v>2434.2023059199996</c:v>
                      </c:pt>
                      <c:pt idx="11">
                        <c:v>2791.3477756953598</c:v>
                      </c:pt>
                      <c:pt idx="12">
                        <c:v>0</c:v>
                      </c:pt>
                      <c:pt idx="13">
                        <c:v>2400.6268943999999</c:v>
                      </c:pt>
                      <c:pt idx="14">
                        <c:v>3459.1663779724799</c:v>
                      </c:pt>
                      <c:pt idx="15">
                        <c:v>0</c:v>
                      </c:pt>
                      <c:pt idx="16">
                        <c:v>1248.61922304</c:v>
                      </c:pt>
                      <c:pt idx="17">
                        <c:v>2132.6906350848003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4A9E-40ED-BBB9-467C65011D7C}"/>
                  </c:ext>
                </c:extLst>
              </c15:ser>
            </c15:filteredBarSeries>
            <c15:filteredBar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EE_PB!$K$26</c15:sqref>
                        </c15:formulaRef>
                      </c:ext>
                    </c:extLst>
                    <c:strCache>
                      <c:ptCount val="1"/>
                      <c:pt idx="0">
                        <c:v>Combustión</c:v>
                      </c:pt>
                    </c:strCache>
                  </c:strRef>
                </c:tx>
                <c:spPr>
                  <a:pattFill prst="pct10">
                    <a:fgClr>
                      <a:schemeClr val="tx1">
                        <a:lumMod val="75000"/>
                        <a:lumOff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EE_PB!$L$26:$AC$26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>
                        <c:v>850</c:v>
                      </c:pt>
                      <c:pt idx="1">
                        <c:v>5199.8497753273205</c:v>
                      </c:pt>
                      <c:pt idx="2">
                        <c:v>728.33550158979301</c:v>
                      </c:pt>
                      <c:pt idx="3" formatCode="General">
                        <c:v>0</c:v>
                      </c:pt>
                      <c:pt idx="4">
                        <c:v>5922.8578098823127</c:v>
                      </c:pt>
                      <c:pt idx="5">
                        <c:v>588.35148889594552</c:v>
                      </c:pt>
                      <c:pt idx="6" formatCode="General">
                        <c:v>0</c:v>
                      </c:pt>
                      <c:pt idx="7">
                        <c:v>4866.7782946688967</c:v>
                      </c:pt>
                      <c:pt idx="8">
                        <c:v>612.22391999999991</c:v>
                      </c:pt>
                      <c:pt idx="9" formatCode="General">
                        <c:v>0</c:v>
                      </c:pt>
                      <c:pt idx="10">
                        <c:v>3273.7723004080331</c:v>
                      </c:pt>
                      <c:pt idx="11">
                        <c:v>211.35683774712658</c:v>
                      </c:pt>
                      <c:pt idx="12" formatCode="General">
                        <c:v>0</c:v>
                      </c:pt>
                      <c:pt idx="13">
                        <c:v>4892.6597644962912</c:v>
                      </c:pt>
                      <c:pt idx="14">
                        <c:v>704.95523516918115</c:v>
                      </c:pt>
                      <c:pt idx="15" formatCode="General">
                        <c:v>0</c:v>
                      </c:pt>
                      <c:pt idx="16">
                        <c:v>3242.693977676644</c:v>
                      </c:pt>
                      <c:pt idx="17">
                        <c:v>365.22772676232012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4A9E-40ED-BBB9-467C65011D7C}"/>
                  </c:ext>
                </c:extLst>
              </c15:ser>
            </c15:filteredBarSeries>
            <c15:filteredBa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EE_PB!$K$27</c15:sqref>
                        </c15:formulaRef>
                      </c:ext>
                    </c:extLst>
                    <c:strCache>
                      <c:ptCount val="1"/>
                      <c:pt idx="0">
                        <c:v>Digestión anerobica</c:v>
                      </c:pt>
                    </c:strCache>
                  </c:strRef>
                </c:tx>
                <c:spPr>
                  <a:pattFill prst="dkUpDiag">
                    <a:fgClr>
                      <a:schemeClr val="bg2">
                        <a:lumMod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EE_PB!$L$27:$AC$27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 formatCode="General">
                        <c:v>0</c:v>
                      </c:pt>
                      <c:pt idx="1">
                        <c:v>1462.76976384</c:v>
                      </c:pt>
                      <c:pt idx="2">
                        <c:v>3055.7279604095997</c:v>
                      </c:pt>
                      <c:pt idx="3">
                        <c:v>0</c:v>
                      </c:pt>
                      <c:pt idx="4">
                        <c:v>3215.4977567999999</c:v>
                      </c:pt>
                      <c:pt idx="5">
                        <c:v>4443.1995619199997</c:v>
                      </c:pt>
                      <c:pt idx="6">
                        <c:v>0</c:v>
                      </c:pt>
                      <c:pt idx="7">
                        <c:v>1804.9764499200001</c:v>
                      </c:pt>
                      <c:pt idx="8">
                        <c:v>3252.8490912287994</c:v>
                      </c:pt>
                      <c:pt idx="9">
                        <c:v>600</c:v>
                      </c:pt>
                      <c:pt idx="10">
                        <c:v>2434.2023059199996</c:v>
                      </c:pt>
                      <c:pt idx="11">
                        <c:v>2791.3477756953598</c:v>
                      </c:pt>
                      <c:pt idx="12">
                        <c:v>0</c:v>
                      </c:pt>
                      <c:pt idx="13">
                        <c:v>2400.6268943999999</c:v>
                      </c:pt>
                      <c:pt idx="14">
                        <c:v>3459.1663779724799</c:v>
                      </c:pt>
                      <c:pt idx="15">
                        <c:v>0</c:v>
                      </c:pt>
                      <c:pt idx="16">
                        <c:v>1248.61922304</c:v>
                      </c:pt>
                      <c:pt idx="17">
                        <c:v>2132.6906350848003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4A9E-40ED-BBB9-467C65011D7C}"/>
                  </c:ext>
                </c:extLst>
              </c15:ser>
            </c15:filteredBarSeries>
            <c15:filteredBarSeries>
              <c15:ser>
                <c:idx val="0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EE_PB!$K$26</c15:sqref>
                        </c15:formulaRef>
                      </c:ext>
                    </c:extLst>
                    <c:strCache>
                      <c:ptCount val="1"/>
                      <c:pt idx="0">
                        <c:v>Combustión</c:v>
                      </c:pt>
                    </c:strCache>
                  </c:strRef>
                </c:tx>
                <c:spPr>
                  <a:pattFill prst="pct10">
                    <a:fgClr>
                      <a:schemeClr val="tx1">
                        <a:lumMod val="75000"/>
                        <a:lumOff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EE_PB!$L$26:$AC$26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>
                        <c:v>850</c:v>
                      </c:pt>
                      <c:pt idx="1">
                        <c:v>5199.8497753273205</c:v>
                      </c:pt>
                      <c:pt idx="2">
                        <c:v>728.33550158979301</c:v>
                      </c:pt>
                      <c:pt idx="3" formatCode="General">
                        <c:v>0</c:v>
                      </c:pt>
                      <c:pt idx="4">
                        <c:v>5922.8578098823127</c:v>
                      </c:pt>
                      <c:pt idx="5">
                        <c:v>588.35148889594552</c:v>
                      </c:pt>
                      <c:pt idx="6" formatCode="General">
                        <c:v>0</c:v>
                      </c:pt>
                      <c:pt idx="7">
                        <c:v>4866.7782946688967</c:v>
                      </c:pt>
                      <c:pt idx="8">
                        <c:v>612.22391999999991</c:v>
                      </c:pt>
                      <c:pt idx="9" formatCode="General">
                        <c:v>0</c:v>
                      </c:pt>
                      <c:pt idx="10">
                        <c:v>3273.7723004080331</c:v>
                      </c:pt>
                      <c:pt idx="11">
                        <c:v>211.35683774712658</c:v>
                      </c:pt>
                      <c:pt idx="12" formatCode="General">
                        <c:v>0</c:v>
                      </c:pt>
                      <c:pt idx="13">
                        <c:v>4892.6597644962912</c:v>
                      </c:pt>
                      <c:pt idx="14">
                        <c:v>704.95523516918115</c:v>
                      </c:pt>
                      <c:pt idx="15" formatCode="General">
                        <c:v>0</c:v>
                      </c:pt>
                      <c:pt idx="16">
                        <c:v>3242.693977676644</c:v>
                      </c:pt>
                      <c:pt idx="17">
                        <c:v>365.22772676232012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4A9E-40ED-BBB9-467C65011D7C}"/>
                  </c:ext>
                </c:extLst>
              </c15:ser>
            </c15:filteredBarSeries>
            <c15:filteredBar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EE_PB!$K$27</c15:sqref>
                        </c15:formulaRef>
                      </c:ext>
                    </c:extLst>
                    <c:strCache>
                      <c:ptCount val="1"/>
                      <c:pt idx="0">
                        <c:v>Digestión anerobica</c:v>
                      </c:pt>
                    </c:strCache>
                  </c:strRef>
                </c:tx>
                <c:spPr>
                  <a:pattFill prst="dkUpDiag">
                    <a:fgClr>
                      <a:schemeClr val="bg2">
                        <a:lumMod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EE_PB!$L$27:$AC$27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 formatCode="General">
                        <c:v>0</c:v>
                      </c:pt>
                      <c:pt idx="1">
                        <c:v>1462.76976384</c:v>
                      </c:pt>
                      <c:pt idx="2">
                        <c:v>3055.7279604095997</c:v>
                      </c:pt>
                      <c:pt idx="3">
                        <c:v>0</c:v>
                      </c:pt>
                      <c:pt idx="4">
                        <c:v>3215.4977567999999</c:v>
                      </c:pt>
                      <c:pt idx="5">
                        <c:v>4443.1995619199997</c:v>
                      </c:pt>
                      <c:pt idx="6">
                        <c:v>0</c:v>
                      </c:pt>
                      <c:pt idx="7">
                        <c:v>1804.9764499200001</c:v>
                      </c:pt>
                      <c:pt idx="8">
                        <c:v>3252.8490912287994</c:v>
                      </c:pt>
                      <c:pt idx="9">
                        <c:v>600</c:v>
                      </c:pt>
                      <c:pt idx="10">
                        <c:v>2434.2023059199996</c:v>
                      </c:pt>
                      <c:pt idx="11">
                        <c:v>2791.3477756953598</c:v>
                      </c:pt>
                      <c:pt idx="12">
                        <c:v>0</c:v>
                      </c:pt>
                      <c:pt idx="13">
                        <c:v>2400.6268943999999</c:v>
                      </c:pt>
                      <c:pt idx="14">
                        <c:v>3459.1663779724799</c:v>
                      </c:pt>
                      <c:pt idx="15">
                        <c:v>0</c:v>
                      </c:pt>
                      <c:pt idx="16">
                        <c:v>1248.61922304</c:v>
                      </c:pt>
                      <c:pt idx="17">
                        <c:v>2132.6906350848003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4A9E-40ED-BBB9-467C65011D7C}"/>
                  </c:ext>
                </c:extLst>
              </c15:ser>
            </c15:filteredBarSeries>
          </c:ext>
        </c:extLst>
      </c:barChart>
      <c:catAx>
        <c:axId val="121326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8282671"/>
        <c:crosses val="autoZero"/>
        <c:auto val="1"/>
        <c:lblAlgn val="ctr"/>
        <c:lblOffset val="100"/>
        <c:noMultiLvlLbl val="0"/>
      </c:catAx>
      <c:valAx>
        <c:axId val="718282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Demanda </a:t>
                </a:r>
                <a:r>
                  <a:rPr lang="es-CO" b="1" baseline="0"/>
                  <a:t>electrica (kW)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3269615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EE_PB!$BB$22</c:f>
              <c:strCache>
                <c:ptCount val="1"/>
                <c:pt idx="0">
                  <c:v>Planta A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20000"/>
                    <a:lumOff val="80000"/>
                  </a:schemeClr>
                </a:gs>
                <a:gs pos="50000">
                  <a:schemeClr val="bg1">
                    <a:lumMod val="65000"/>
                  </a:schemeClr>
                </a:gs>
                <a:gs pos="100000">
                  <a:schemeClr val="tx1">
                    <a:lumMod val="85000"/>
                    <a:lumOff val="15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 w="12700">
              <a:solidFill>
                <a:schemeClr val="tx1"/>
              </a:solidFill>
            </a:ln>
            <a:effectLst/>
          </c:spPr>
          <c:invertIfNegative val="0"/>
          <c:cat>
            <c:multiLvlStrRef>
              <c:f>EE_PB!$BC$20:$BE$21</c:f>
              <c:multiLvlStrCache>
                <c:ptCount val="3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</c:lvl>
                <c:lvl>
                  <c:pt idx="0">
                    <c:v>η Proceso</c:v>
                  </c:pt>
                </c:lvl>
              </c:multiLvlStrCache>
            </c:multiLvlStrRef>
          </c:cat>
          <c:val>
            <c:numRef>
              <c:f>EE_PB!$BC$22:$BE$22</c:f>
              <c:numCache>
                <c:formatCode>0%</c:formatCode>
                <c:ptCount val="3"/>
                <c:pt idx="0">
                  <c:v>0.21366300793112306</c:v>
                </c:pt>
                <c:pt idx="1">
                  <c:v>0.69851549633382326</c:v>
                </c:pt>
                <c:pt idx="2" formatCode="0.0%">
                  <c:v>0.47504560658976352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8-4F9B-B530-8F3A45C15A04}"/>
            </c:ext>
          </c:extLst>
        </c:ser>
        <c:ser>
          <c:idx val="1"/>
          <c:order val="1"/>
          <c:tx>
            <c:strRef>
              <c:f>EE_PB!$BB$23</c:f>
              <c:strCache>
                <c:ptCount val="1"/>
                <c:pt idx="0">
                  <c:v>Planta B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20000"/>
                    <a:lumOff val="80000"/>
                  </a:schemeClr>
                </a:gs>
                <a:gs pos="5000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50000"/>
                  </a:schemeClr>
                </a:gs>
              </a:gsLst>
              <a:path path="circle">
                <a:fillToRect l="100000" t="100000"/>
              </a:path>
            </a:gradFill>
            <a:ln w="12700">
              <a:solidFill>
                <a:schemeClr val="tx1"/>
              </a:solidFill>
            </a:ln>
            <a:effectLst/>
          </c:spPr>
          <c:invertIfNegative val="0"/>
          <c:cat>
            <c:multiLvlStrRef>
              <c:f>EE_PB!$BC$20:$BE$21</c:f>
              <c:multiLvlStrCache>
                <c:ptCount val="3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</c:lvl>
                <c:lvl>
                  <c:pt idx="0">
                    <c:v>η Proceso</c:v>
                  </c:pt>
                </c:lvl>
              </c:multiLvlStrCache>
            </c:multiLvlStrRef>
          </c:cat>
          <c:val>
            <c:numRef>
              <c:f>EE_PB!$BC$23:$BE$23</c:f>
              <c:numCache>
                <c:formatCode>0%</c:formatCode>
                <c:ptCount val="3"/>
                <c:pt idx="0">
                  <c:v>0.155220869242748</c:v>
                </c:pt>
                <c:pt idx="1">
                  <c:v>0.70013420632202894</c:v>
                </c:pt>
                <c:pt idx="2" formatCode="0.0%">
                  <c:v>0.49933621508179926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8-4F9B-B530-8F3A45C15A04}"/>
            </c:ext>
          </c:extLst>
        </c:ser>
        <c:ser>
          <c:idx val="2"/>
          <c:order val="2"/>
          <c:tx>
            <c:strRef>
              <c:f>EE_PB!$BB$24</c:f>
              <c:strCache>
                <c:ptCount val="1"/>
                <c:pt idx="0">
                  <c:v>Planta C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20000"/>
                    <a:lumOff val="80000"/>
                  </a:schemeClr>
                </a:gs>
                <a:gs pos="59000">
                  <a:schemeClr val="accent5">
                    <a:lumMod val="60000"/>
                    <a:lumOff val="40000"/>
                  </a:schemeClr>
                </a:gs>
                <a:gs pos="100000">
                  <a:schemeClr val="accent5">
                    <a:lumMod val="50000"/>
                  </a:schemeClr>
                </a:gs>
              </a:gsLst>
              <a:path path="circle">
                <a:fillToRect l="100000" t="100000"/>
              </a:path>
            </a:gradFill>
            <a:ln w="12700">
              <a:solidFill>
                <a:schemeClr val="tx1"/>
              </a:solidFill>
            </a:ln>
            <a:effectLst/>
          </c:spPr>
          <c:invertIfNegative val="0"/>
          <c:cat>
            <c:multiLvlStrRef>
              <c:f>EE_PB!$BC$20:$BE$21</c:f>
              <c:multiLvlStrCache>
                <c:ptCount val="3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</c:lvl>
                <c:lvl>
                  <c:pt idx="0">
                    <c:v>η Proceso</c:v>
                  </c:pt>
                </c:lvl>
              </c:multiLvlStrCache>
            </c:multiLvlStrRef>
          </c:cat>
          <c:val>
            <c:numRef>
              <c:f>EE_PB!$BC$24:$BE$24</c:f>
              <c:numCache>
                <c:formatCode>0%</c:formatCode>
                <c:ptCount val="3"/>
                <c:pt idx="0">
                  <c:v>0.17340123260473184</c:v>
                </c:pt>
                <c:pt idx="1">
                  <c:v>0.54015755957627964</c:v>
                </c:pt>
                <c:pt idx="2" formatCode="0.0%">
                  <c:v>0.37960011010143868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8-4F9B-B530-8F3A45C15A04}"/>
            </c:ext>
          </c:extLst>
        </c:ser>
        <c:ser>
          <c:idx val="3"/>
          <c:order val="3"/>
          <c:tx>
            <c:strRef>
              <c:f>EE_PB!$BB$25</c:f>
              <c:strCache>
                <c:ptCount val="1"/>
                <c:pt idx="0">
                  <c:v>Planta D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20000"/>
                    <a:lumOff val="80000"/>
                  </a:schemeClr>
                </a:gs>
                <a:gs pos="59000">
                  <a:schemeClr val="accent4">
                    <a:lumMod val="60000"/>
                    <a:lumOff val="40000"/>
                  </a:schemeClr>
                </a:gs>
                <a:gs pos="100000">
                  <a:srgbClr val="FFC000"/>
                </a:gs>
              </a:gsLst>
              <a:path path="circle">
                <a:fillToRect l="100000" t="100000"/>
              </a:path>
            </a:gradFill>
            <a:ln w="12700">
              <a:solidFill>
                <a:schemeClr val="tx1"/>
              </a:solidFill>
            </a:ln>
            <a:effectLst/>
          </c:spPr>
          <c:invertIfNegative val="0"/>
          <c:cat>
            <c:multiLvlStrRef>
              <c:f>EE_PB!$BC$20:$BE$21</c:f>
              <c:multiLvlStrCache>
                <c:ptCount val="3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</c:lvl>
                <c:lvl>
                  <c:pt idx="0">
                    <c:v>η Proceso</c:v>
                  </c:pt>
                </c:lvl>
              </c:multiLvlStrCache>
            </c:multiLvlStrRef>
          </c:cat>
          <c:val>
            <c:numRef>
              <c:f>EE_PB!$BC$25:$BE$25</c:f>
              <c:numCache>
                <c:formatCode>0%</c:formatCode>
                <c:ptCount val="3"/>
                <c:pt idx="0">
                  <c:v>0.16190251976165301</c:v>
                </c:pt>
                <c:pt idx="1">
                  <c:v>0.74714812007472309</c:v>
                </c:pt>
                <c:pt idx="2" formatCode="0.0%">
                  <c:v>0.51030421259701986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18-4F9B-B530-8F3A45C15A04}"/>
            </c:ext>
          </c:extLst>
        </c:ser>
        <c:ser>
          <c:idx val="4"/>
          <c:order val="4"/>
          <c:tx>
            <c:strRef>
              <c:f>EE_PB!$BB$26</c:f>
              <c:strCache>
                <c:ptCount val="1"/>
                <c:pt idx="0">
                  <c:v>Planta E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20000"/>
                    <a:lumOff val="80000"/>
                  </a:schemeClr>
                </a:gs>
                <a:gs pos="59000">
                  <a:srgbClr val="7030A0"/>
                </a:gs>
                <a:gs pos="100000">
                  <a:srgbClr val="002060"/>
                </a:gs>
              </a:gsLst>
              <a:path path="circle">
                <a:fillToRect l="100000" t="100000"/>
              </a:path>
            </a:gradFill>
            <a:ln w="12700">
              <a:solidFill>
                <a:schemeClr val="tx1"/>
              </a:solidFill>
            </a:ln>
            <a:effectLst/>
          </c:spPr>
          <c:invertIfNegative val="0"/>
          <c:cat>
            <c:multiLvlStrRef>
              <c:f>EE_PB!$BC$20:$BE$21</c:f>
              <c:multiLvlStrCache>
                <c:ptCount val="3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</c:lvl>
                <c:lvl>
                  <c:pt idx="0">
                    <c:v>η Proceso</c:v>
                  </c:pt>
                </c:lvl>
              </c:multiLvlStrCache>
            </c:multiLvlStrRef>
          </c:cat>
          <c:val>
            <c:numRef>
              <c:f>EE_PB!$BC$26:$BE$26</c:f>
              <c:numCache>
                <c:formatCode>0%</c:formatCode>
                <c:ptCount val="3"/>
                <c:pt idx="0">
                  <c:v>0.14933745323275591</c:v>
                </c:pt>
                <c:pt idx="1">
                  <c:v>0.624543572344195</c:v>
                </c:pt>
                <c:pt idx="2" formatCode="0.0%">
                  <c:v>0.44024192614853086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18-4F9B-B530-8F3A45C15A04}"/>
            </c:ext>
          </c:extLst>
        </c:ser>
        <c:ser>
          <c:idx val="5"/>
          <c:order val="5"/>
          <c:tx>
            <c:strRef>
              <c:f>EE_PB!$BB$27</c:f>
              <c:strCache>
                <c:ptCount val="1"/>
                <c:pt idx="0">
                  <c:v>Planta F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20000"/>
                    <a:lumOff val="80000"/>
                  </a:schemeClr>
                </a:gs>
                <a:gs pos="59000">
                  <a:srgbClr val="92D050"/>
                </a:gs>
                <a:gs pos="100000">
                  <a:srgbClr val="00B050"/>
                </a:gs>
              </a:gsLst>
              <a:path path="circle">
                <a:fillToRect l="100000" t="100000"/>
              </a:path>
            </a:gradFill>
            <a:ln w="12700">
              <a:solidFill>
                <a:schemeClr val="tx1"/>
              </a:solidFill>
            </a:ln>
            <a:effectLst/>
          </c:spPr>
          <c:invertIfNegative val="0"/>
          <c:cat>
            <c:multiLvlStrRef>
              <c:f>EE_PB!$BC$20:$BE$21</c:f>
              <c:multiLvlStrCache>
                <c:ptCount val="3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</c:lvl>
                <c:lvl>
                  <c:pt idx="0">
                    <c:v>η Proceso</c:v>
                  </c:pt>
                </c:lvl>
              </c:multiLvlStrCache>
            </c:multiLvlStrRef>
          </c:cat>
          <c:val>
            <c:numRef>
              <c:f>EE_PB!$BC$27:$BE$27</c:f>
              <c:numCache>
                <c:formatCode>0%</c:formatCode>
                <c:ptCount val="3"/>
                <c:pt idx="0">
                  <c:v>0.19027946427479761</c:v>
                </c:pt>
                <c:pt idx="1">
                  <c:v>0.71914476751476697</c:v>
                </c:pt>
                <c:pt idx="2" formatCode="0.0%">
                  <c:v>0.48625570700064724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18-4F9B-B530-8F3A45C15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611680"/>
        <c:axId val="1652546128"/>
      </c:barChart>
      <c:catAx>
        <c:axId val="53261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546128"/>
        <c:crosses val="autoZero"/>
        <c:auto val="1"/>
        <c:lblAlgn val="ctr"/>
        <c:lblOffset val="100"/>
        <c:noMultiLvlLbl val="0"/>
      </c:catAx>
      <c:valAx>
        <c:axId val="165254612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Eficiencia proceso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2611680"/>
        <c:crosses val="autoZero"/>
        <c:crossBetween val="between"/>
      </c:valAx>
      <c:spPr>
        <a:pattFill prst="pct60">
          <a:fgClr>
            <a:srgbClr val="000000">
              <a:alpha val="0"/>
            </a:srgbClr>
          </a:fgClr>
          <a:bgClr>
            <a:srgbClr val="FFFFFF"/>
          </a:bgClr>
        </a:pattFill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EE_PB!$BG$20:$BG$21</c:f>
              <c:strCache>
                <c:ptCount val="2"/>
                <c:pt idx="0">
                  <c:v>Iexc</c:v>
                </c:pt>
                <c:pt idx="1">
                  <c:v>ERI - 1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EE_PB!$BB$22:$BB$27</c:f>
              <c:strCache>
                <c:ptCount val="6"/>
                <c:pt idx="0">
                  <c:v>Planta A</c:v>
                </c:pt>
                <c:pt idx="1">
                  <c:v>Planta B</c:v>
                </c:pt>
                <c:pt idx="2">
                  <c:v>Planta C</c:v>
                </c:pt>
                <c:pt idx="3">
                  <c:v>Planta D</c:v>
                </c:pt>
                <c:pt idx="4">
                  <c:v>Planta E</c:v>
                </c:pt>
                <c:pt idx="5">
                  <c:v>Planta F</c:v>
                </c:pt>
              </c:strCache>
            </c:strRef>
          </c:cat>
          <c:val>
            <c:numRef>
              <c:f>EE_PB!$BG$22:$BG$27</c:f>
              <c:numCache>
                <c:formatCode>0</c:formatCode>
                <c:ptCount val="6"/>
                <c:pt idx="0">
                  <c:v>222.08731797224402</c:v>
                </c:pt>
                <c:pt idx="1">
                  <c:v>212.38140038305784</c:v>
                </c:pt>
                <c:pt idx="2">
                  <c:v>222.3918248196299</c:v>
                </c:pt>
                <c:pt idx="3">
                  <c:v>217.54725604766804</c:v>
                </c:pt>
                <c:pt idx="4">
                  <c:v>183.32974927608339</c:v>
                </c:pt>
                <c:pt idx="5">
                  <c:v>224.5656600358322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A-435A-B0F2-055C516FA312}"/>
            </c:ext>
          </c:extLst>
        </c:ser>
        <c:ser>
          <c:idx val="2"/>
          <c:order val="2"/>
          <c:tx>
            <c:strRef>
              <c:f>EE_PB!$BH$20:$BH$21</c:f>
              <c:strCache>
                <c:ptCount val="2"/>
                <c:pt idx="0">
                  <c:v>Iexc</c:v>
                </c:pt>
                <c:pt idx="1">
                  <c:v>ERI - 2</c:v>
                </c:pt>
              </c:strCache>
            </c:strRef>
          </c:tx>
          <c:spPr>
            <a:pattFill prst="wdUpDiag">
              <a:fgClr>
                <a:srgbClr val="C00000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EE_PB!$BB$22:$BB$27</c:f>
              <c:strCache>
                <c:ptCount val="6"/>
                <c:pt idx="0">
                  <c:v>Planta A</c:v>
                </c:pt>
                <c:pt idx="1">
                  <c:v>Planta B</c:v>
                </c:pt>
                <c:pt idx="2">
                  <c:v>Planta C</c:v>
                </c:pt>
                <c:pt idx="3">
                  <c:v>Planta D</c:v>
                </c:pt>
                <c:pt idx="4">
                  <c:v>Planta E</c:v>
                </c:pt>
                <c:pt idx="5">
                  <c:v>Planta F</c:v>
                </c:pt>
              </c:strCache>
            </c:strRef>
          </c:cat>
          <c:val>
            <c:numRef>
              <c:f>EE_PB!$BH$22:$BH$27</c:f>
              <c:numCache>
                <c:formatCode>0</c:formatCode>
                <c:ptCount val="6"/>
                <c:pt idx="0">
                  <c:v>126.13544873331308</c:v>
                </c:pt>
                <c:pt idx="1">
                  <c:v>125.78877627039863</c:v>
                </c:pt>
                <c:pt idx="2">
                  <c:v>133.8145538581953</c:v>
                </c:pt>
                <c:pt idx="3">
                  <c:v>125.11269222677026</c:v>
                </c:pt>
                <c:pt idx="4">
                  <c:v>109.98943271333528</c:v>
                </c:pt>
                <c:pt idx="5">
                  <c:v>124.89591809235603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BA-435A-B0F2-055C516FA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611680"/>
        <c:axId val="16525461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EE_PB!$BF$20:$BF$21</c15:sqref>
                        </c15:formulaRef>
                      </c:ext>
                    </c:extLst>
                    <c:strCache>
                      <c:ptCount val="2"/>
                      <c:pt idx="0">
                        <c:v>Iexc</c:v>
                      </c:pt>
                      <c:pt idx="1">
                        <c:v>LB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EE_PB!$BB$22:$BB$27</c15:sqref>
                        </c15:formulaRef>
                      </c:ext>
                    </c:extLst>
                    <c:strCache>
                      <c:ptCount val="6"/>
                      <c:pt idx="0">
                        <c:v>Planta A</c:v>
                      </c:pt>
                      <c:pt idx="1">
                        <c:v>Planta B</c:v>
                      </c:pt>
                      <c:pt idx="2">
                        <c:v>Planta C</c:v>
                      </c:pt>
                      <c:pt idx="3">
                        <c:v>Planta D</c:v>
                      </c:pt>
                      <c:pt idx="4">
                        <c:v>Planta E</c:v>
                      </c:pt>
                      <c:pt idx="5">
                        <c:v>Planta 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EE_PB!$BF$22:$BF$27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9BA-435A-B0F2-055C516FA312}"/>
                  </c:ext>
                </c:extLst>
              </c15:ser>
            </c15:filteredBarSeries>
          </c:ext>
        </c:extLst>
      </c:barChart>
      <c:catAx>
        <c:axId val="53261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546128"/>
        <c:crosses val="autoZero"/>
        <c:auto val="1"/>
        <c:lblAlgn val="ctr"/>
        <c:lblOffset val="100"/>
        <c:noMultiLvlLbl val="0"/>
      </c:catAx>
      <c:valAx>
        <c:axId val="165254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>
                    <a:solidFill>
                      <a:sysClr val="windowText" lastClr="000000"/>
                    </a:solidFill>
                  </a:rPr>
                  <a:t>Excedentes de electricidad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2611680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5"/>
          <c:order val="1"/>
          <c:tx>
            <c:strRef>
              <c:f>EE_PB!$K$23</c:f>
              <c:strCache>
                <c:ptCount val="1"/>
                <c:pt idx="0">
                  <c:v>Térmica</c:v>
                </c:pt>
              </c:strCache>
            </c:strRef>
          </c:tx>
          <c:spPr>
            <a:solidFill>
              <a:schemeClr val="bg1"/>
            </a:solidFill>
            <a:ln w="19050">
              <a:solidFill>
                <a:schemeClr val="tx1"/>
              </a:solidFill>
            </a:ln>
          </c:spPr>
          <c:invertIfNegative val="0"/>
          <c:cat>
            <c:multiLvlStrRef>
              <c:f>EE_PB!$L$20:$AC$21</c:f>
              <c:multiLvlStrCache>
                <c:ptCount val="18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  <c:pt idx="3">
                    <c:v>LB</c:v>
                  </c:pt>
                  <c:pt idx="4">
                    <c:v>ERI - 1</c:v>
                  </c:pt>
                  <c:pt idx="5">
                    <c:v>ERI - 2</c:v>
                  </c:pt>
                  <c:pt idx="6">
                    <c:v>LB</c:v>
                  </c:pt>
                  <c:pt idx="7">
                    <c:v>ERI - 1</c:v>
                  </c:pt>
                  <c:pt idx="8">
                    <c:v>ERI - 2</c:v>
                  </c:pt>
                  <c:pt idx="9">
                    <c:v>LB</c:v>
                  </c:pt>
                  <c:pt idx="10">
                    <c:v>ERI - 1</c:v>
                  </c:pt>
                  <c:pt idx="11">
                    <c:v>ERI - 2</c:v>
                  </c:pt>
                  <c:pt idx="12">
                    <c:v>LB</c:v>
                  </c:pt>
                  <c:pt idx="13">
                    <c:v>ERI - 1</c:v>
                  </c:pt>
                  <c:pt idx="14">
                    <c:v>ERI - 2</c:v>
                  </c:pt>
                  <c:pt idx="15">
                    <c:v>LB</c:v>
                  </c:pt>
                  <c:pt idx="16">
                    <c:v>ERI - 1</c:v>
                  </c:pt>
                  <c:pt idx="17">
                    <c:v>ERI - 2</c:v>
                  </c:pt>
                </c:lvl>
                <c:lvl>
                  <c:pt idx="0">
                    <c:v>Planta A</c:v>
                  </c:pt>
                  <c:pt idx="3">
                    <c:v>Planta B</c:v>
                  </c:pt>
                  <c:pt idx="6">
                    <c:v>Planta C</c:v>
                  </c:pt>
                  <c:pt idx="9">
                    <c:v>Planta D</c:v>
                  </c:pt>
                  <c:pt idx="12">
                    <c:v>Planta E</c:v>
                  </c:pt>
                  <c:pt idx="15">
                    <c:v>Planta F</c:v>
                  </c:pt>
                </c:lvl>
              </c:multiLvlStrCache>
            </c:multiLvlStrRef>
          </c:cat>
          <c:val>
            <c:numRef>
              <c:f>EE_PB!$L$23:$AC$23</c:f>
              <c:numCache>
                <c:formatCode>0</c:formatCode>
                <c:ptCount val="18"/>
                <c:pt idx="0">
                  <c:v>11627.405684754522</c:v>
                </c:pt>
                <c:pt idx="1">
                  <c:v>13979.41957364341</c:v>
                </c:pt>
                <c:pt idx="2">
                  <c:v>15732.057073643411</c:v>
                </c:pt>
                <c:pt idx="3">
                  <c:v>14954.073643410853</c:v>
                </c:pt>
                <c:pt idx="4">
                  <c:v>18422.12919896641</c:v>
                </c:pt>
                <c:pt idx="5">
                  <c:v>20585.87919896641</c:v>
                </c:pt>
                <c:pt idx="6">
                  <c:v>12199.79877260982</c:v>
                </c:pt>
                <c:pt idx="7">
                  <c:v>14830.29877260982</c:v>
                </c:pt>
                <c:pt idx="8">
                  <c:v>16481.96127260982</c:v>
                </c:pt>
                <c:pt idx="9">
                  <c:v>9180.352041343669</c:v>
                </c:pt>
                <c:pt idx="10">
                  <c:v>11273.598708010335</c:v>
                </c:pt>
                <c:pt idx="11">
                  <c:v>12346.818708010334</c:v>
                </c:pt>
                <c:pt idx="12">
                  <c:v>10323.693669250646</c:v>
                </c:pt>
                <c:pt idx="13">
                  <c:v>12982.593669250648</c:v>
                </c:pt>
                <c:pt idx="14">
                  <c:v>14738.116169250647</c:v>
                </c:pt>
                <c:pt idx="15">
                  <c:v>7436.5471576227401</c:v>
                </c:pt>
                <c:pt idx="16">
                  <c:v>9147.6582687338523</c:v>
                </c:pt>
                <c:pt idx="17">
                  <c:v>10174.237435400519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5-4D35-95FD-B3854C868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50"/>
        <c:axId val="1213269615"/>
        <c:axId val="718282671"/>
        <c:extLst>
          <c:ext xmlns:c15="http://schemas.microsoft.com/office/drawing/2012/chart" uri="{02D57815-91ED-43cb-92C2-25804820EDAC}">
            <c15:filteredBarSeries>
              <c15:ser>
                <c:idx val="6"/>
                <c:order val="2"/>
                <c:tx>
                  <c:strRef>
                    <c:extLst>
                      <c:ext uri="{02D57815-91ED-43cb-92C2-25804820EDAC}">
                        <c15:formulaRef>
                          <c15:sqref>EE_PB!$K$26</c15:sqref>
                        </c15:formulaRef>
                      </c:ext>
                    </c:extLst>
                    <c:strCache>
                      <c:ptCount val="1"/>
                      <c:pt idx="0">
                        <c:v>Combustión</c:v>
                      </c:pt>
                    </c:strCache>
                  </c:strRef>
                </c:tx>
                <c:spPr>
                  <a:pattFill prst="pct10">
                    <a:fgClr>
                      <a:schemeClr val="tx1">
                        <a:lumMod val="75000"/>
                        <a:lumOff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EE_PB!$L$26:$AC$26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>
                        <c:v>850</c:v>
                      </c:pt>
                      <c:pt idx="1">
                        <c:v>5199.8497753273205</c:v>
                      </c:pt>
                      <c:pt idx="2">
                        <c:v>728.33550158979301</c:v>
                      </c:pt>
                      <c:pt idx="3" formatCode="General">
                        <c:v>0</c:v>
                      </c:pt>
                      <c:pt idx="4">
                        <c:v>5922.8578098823127</c:v>
                      </c:pt>
                      <c:pt idx="5">
                        <c:v>588.35148889594552</c:v>
                      </c:pt>
                      <c:pt idx="6" formatCode="General">
                        <c:v>0</c:v>
                      </c:pt>
                      <c:pt idx="7">
                        <c:v>4866.7782946688967</c:v>
                      </c:pt>
                      <c:pt idx="8">
                        <c:v>612.22391999999991</c:v>
                      </c:pt>
                      <c:pt idx="9" formatCode="General">
                        <c:v>0</c:v>
                      </c:pt>
                      <c:pt idx="10">
                        <c:v>3273.7723004080331</c:v>
                      </c:pt>
                      <c:pt idx="11">
                        <c:v>211.35683774712658</c:v>
                      </c:pt>
                      <c:pt idx="12" formatCode="General">
                        <c:v>0</c:v>
                      </c:pt>
                      <c:pt idx="13">
                        <c:v>4892.6597644962912</c:v>
                      </c:pt>
                      <c:pt idx="14">
                        <c:v>704.95523516918115</c:v>
                      </c:pt>
                      <c:pt idx="15" formatCode="General">
                        <c:v>0</c:v>
                      </c:pt>
                      <c:pt idx="16">
                        <c:v>3242.693977676644</c:v>
                      </c:pt>
                      <c:pt idx="17">
                        <c:v>365.22772676232012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905-4D35-95FD-B3854C868CF8}"/>
                  </c:ext>
                </c:extLst>
              </c15:ser>
            </c15:filteredBarSeries>
            <c15:filteredBar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EE_PB!$K$27</c15:sqref>
                        </c15:formulaRef>
                      </c:ext>
                    </c:extLst>
                    <c:strCache>
                      <c:ptCount val="1"/>
                      <c:pt idx="0">
                        <c:v>Digestión anerobica</c:v>
                      </c:pt>
                    </c:strCache>
                  </c:strRef>
                </c:tx>
                <c:spPr>
                  <a:pattFill prst="dkUpDiag">
                    <a:fgClr>
                      <a:schemeClr val="bg2">
                        <a:lumMod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EE_PB!$L$27:$AC$27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 formatCode="General">
                        <c:v>0</c:v>
                      </c:pt>
                      <c:pt idx="1">
                        <c:v>1462.76976384</c:v>
                      </c:pt>
                      <c:pt idx="2">
                        <c:v>3055.7279604095997</c:v>
                      </c:pt>
                      <c:pt idx="3">
                        <c:v>0</c:v>
                      </c:pt>
                      <c:pt idx="4">
                        <c:v>3215.4977567999999</c:v>
                      </c:pt>
                      <c:pt idx="5">
                        <c:v>4443.1995619199997</c:v>
                      </c:pt>
                      <c:pt idx="6">
                        <c:v>0</c:v>
                      </c:pt>
                      <c:pt idx="7">
                        <c:v>1804.9764499200001</c:v>
                      </c:pt>
                      <c:pt idx="8">
                        <c:v>3252.8490912287994</c:v>
                      </c:pt>
                      <c:pt idx="9">
                        <c:v>600</c:v>
                      </c:pt>
                      <c:pt idx="10">
                        <c:v>2434.2023059199996</c:v>
                      </c:pt>
                      <c:pt idx="11">
                        <c:v>2791.3477756953598</c:v>
                      </c:pt>
                      <c:pt idx="12">
                        <c:v>0</c:v>
                      </c:pt>
                      <c:pt idx="13">
                        <c:v>2400.6268943999999</c:v>
                      </c:pt>
                      <c:pt idx="14">
                        <c:v>3459.1663779724799</c:v>
                      </c:pt>
                      <c:pt idx="15">
                        <c:v>0</c:v>
                      </c:pt>
                      <c:pt idx="16">
                        <c:v>1248.61922304</c:v>
                      </c:pt>
                      <c:pt idx="17">
                        <c:v>2132.6906350848003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905-4D35-95FD-B3854C868CF8}"/>
                  </c:ext>
                </c:extLst>
              </c15:ser>
            </c15:filteredBarSeries>
            <c15:filteredBar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EE_PB!$K$26</c15:sqref>
                        </c15:formulaRef>
                      </c:ext>
                    </c:extLst>
                    <c:strCache>
                      <c:ptCount val="1"/>
                      <c:pt idx="0">
                        <c:v>Combustión</c:v>
                      </c:pt>
                    </c:strCache>
                  </c:strRef>
                </c:tx>
                <c:spPr>
                  <a:pattFill prst="pct10">
                    <a:fgClr>
                      <a:schemeClr val="tx1">
                        <a:lumMod val="75000"/>
                        <a:lumOff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EE_PB!$L$26:$AC$26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>
                        <c:v>850</c:v>
                      </c:pt>
                      <c:pt idx="1">
                        <c:v>5199.8497753273205</c:v>
                      </c:pt>
                      <c:pt idx="2">
                        <c:v>728.33550158979301</c:v>
                      </c:pt>
                      <c:pt idx="3" formatCode="General">
                        <c:v>0</c:v>
                      </c:pt>
                      <c:pt idx="4">
                        <c:v>5922.8578098823127</c:v>
                      </c:pt>
                      <c:pt idx="5">
                        <c:v>588.35148889594552</c:v>
                      </c:pt>
                      <c:pt idx="6" formatCode="General">
                        <c:v>0</c:v>
                      </c:pt>
                      <c:pt idx="7">
                        <c:v>4866.7782946688967</c:v>
                      </c:pt>
                      <c:pt idx="8">
                        <c:v>612.22391999999991</c:v>
                      </c:pt>
                      <c:pt idx="9" formatCode="General">
                        <c:v>0</c:v>
                      </c:pt>
                      <c:pt idx="10">
                        <c:v>3273.7723004080331</c:v>
                      </c:pt>
                      <c:pt idx="11">
                        <c:v>211.35683774712658</c:v>
                      </c:pt>
                      <c:pt idx="12" formatCode="General">
                        <c:v>0</c:v>
                      </c:pt>
                      <c:pt idx="13">
                        <c:v>4892.6597644962912</c:v>
                      </c:pt>
                      <c:pt idx="14">
                        <c:v>704.95523516918115</c:v>
                      </c:pt>
                      <c:pt idx="15" formatCode="General">
                        <c:v>0</c:v>
                      </c:pt>
                      <c:pt idx="16">
                        <c:v>3242.693977676644</c:v>
                      </c:pt>
                      <c:pt idx="17">
                        <c:v>365.22772676232012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905-4D35-95FD-B3854C868CF8}"/>
                  </c:ext>
                </c:extLst>
              </c15:ser>
            </c15:filteredBarSeries>
            <c15:filteredBa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EE_PB!$K$27</c15:sqref>
                        </c15:formulaRef>
                      </c:ext>
                    </c:extLst>
                    <c:strCache>
                      <c:ptCount val="1"/>
                      <c:pt idx="0">
                        <c:v>Digestión anerobica</c:v>
                      </c:pt>
                    </c:strCache>
                  </c:strRef>
                </c:tx>
                <c:spPr>
                  <a:pattFill prst="dkUpDiag">
                    <a:fgClr>
                      <a:schemeClr val="bg2">
                        <a:lumMod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EE_PB!$L$27:$AC$27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 formatCode="General">
                        <c:v>0</c:v>
                      </c:pt>
                      <c:pt idx="1">
                        <c:v>1462.76976384</c:v>
                      </c:pt>
                      <c:pt idx="2">
                        <c:v>3055.7279604095997</c:v>
                      </c:pt>
                      <c:pt idx="3">
                        <c:v>0</c:v>
                      </c:pt>
                      <c:pt idx="4">
                        <c:v>3215.4977567999999</c:v>
                      </c:pt>
                      <c:pt idx="5">
                        <c:v>4443.1995619199997</c:v>
                      </c:pt>
                      <c:pt idx="6">
                        <c:v>0</c:v>
                      </c:pt>
                      <c:pt idx="7">
                        <c:v>1804.9764499200001</c:v>
                      </c:pt>
                      <c:pt idx="8">
                        <c:v>3252.8490912287994</c:v>
                      </c:pt>
                      <c:pt idx="9">
                        <c:v>600</c:v>
                      </c:pt>
                      <c:pt idx="10">
                        <c:v>2434.2023059199996</c:v>
                      </c:pt>
                      <c:pt idx="11">
                        <c:v>2791.3477756953598</c:v>
                      </c:pt>
                      <c:pt idx="12">
                        <c:v>0</c:v>
                      </c:pt>
                      <c:pt idx="13">
                        <c:v>2400.6268943999999</c:v>
                      </c:pt>
                      <c:pt idx="14">
                        <c:v>3459.1663779724799</c:v>
                      </c:pt>
                      <c:pt idx="15">
                        <c:v>0</c:v>
                      </c:pt>
                      <c:pt idx="16">
                        <c:v>1248.61922304</c:v>
                      </c:pt>
                      <c:pt idx="17">
                        <c:v>2132.6906350848003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905-4D35-95FD-B3854C868CF8}"/>
                  </c:ext>
                </c:extLst>
              </c15:ser>
            </c15:filteredBarSeries>
            <c15:filteredBarSeries>
              <c15:ser>
                <c:idx val="0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EE_PB!$K$26</c15:sqref>
                        </c15:formulaRef>
                      </c:ext>
                    </c:extLst>
                    <c:strCache>
                      <c:ptCount val="1"/>
                      <c:pt idx="0">
                        <c:v>Combustión</c:v>
                      </c:pt>
                    </c:strCache>
                  </c:strRef>
                </c:tx>
                <c:spPr>
                  <a:pattFill prst="pct10">
                    <a:fgClr>
                      <a:schemeClr val="tx1">
                        <a:lumMod val="75000"/>
                        <a:lumOff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EE_PB!$L$26:$AC$26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>
                        <c:v>850</c:v>
                      </c:pt>
                      <c:pt idx="1">
                        <c:v>5199.8497753273205</c:v>
                      </c:pt>
                      <c:pt idx="2">
                        <c:v>728.33550158979301</c:v>
                      </c:pt>
                      <c:pt idx="3" formatCode="General">
                        <c:v>0</c:v>
                      </c:pt>
                      <c:pt idx="4">
                        <c:v>5922.8578098823127</c:v>
                      </c:pt>
                      <c:pt idx="5">
                        <c:v>588.35148889594552</c:v>
                      </c:pt>
                      <c:pt idx="6" formatCode="General">
                        <c:v>0</c:v>
                      </c:pt>
                      <c:pt idx="7">
                        <c:v>4866.7782946688967</c:v>
                      </c:pt>
                      <c:pt idx="8">
                        <c:v>612.22391999999991</c:v>
                      </c:pt>
                      <c:pt idx="9" formatCode="General">
                        <c:v>0</c:v>
                      </c:pt>
                      <c:pt idx="10">
                        <c:v>3273.7723004080331</c:v>
                      </c:pt>
                      <c:pt idx="11">
                        <c:v>211.35683774712658</c:v>
                      </c:pt>
                      <c:pt idx="12" formatCode="General">
                        <c:v>0</c:v>
                      </c:pt>
                      <c:pt idx="13">
                        <c:v>4892.6597644962912</c:v>
                      </c:pt>
                      <c:pt idx="14">
                        <c:v>704.95523516918115</c:v>
                      </c:pt>
                      <c:pt idx="15" formatCode="General">
                        <c:v>0</c:v>
                      </c:pt>
                      <c:pt idx="16">
                        <c:v>3242.693977676644</c:v>
                      </c:pt>
                      <c:pt idx="17">
                        <c:v>365.22772676232012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905-4D35-95FD-B3854C868CF8}"/>
                  </c:ext>
                </c:extLst>
              </c15:ser>
            </c15:filteredBarSeries>
            <c15:filteredBar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EE_PB!$K$27</c15:sqref>
                        </c15:formulaRef>
                      </c:ext>
                    </c:extLst>
                    <c:strCache>
                      <c:ptCount val="1"/>
                      <c:pt idx="0">
                        <c:v>Digestión anerobica</c:v>
                      </c:pt>
                    </c:strCache>
                  </c:strRef>
                </c:tx>
                <c:spPr>
                  <a:pattFill prst="dkUpDiag">
                    <a:fgClr>
                      <a:schemeClr val="bg2">
                        <a:lumMod val="25000"/>
                      </a:schemeClr>
                    </a:fgClr>
                    <a:bgClr>
                      <a:schemeClr val="bg1"/>
                    </a:bgClr>
                  </a:pattFill>
                  <a:ln w="25400">
                    <a:solidFill>
                      <a:schemeClr val="tx1"/>
                    </a:solidFill>
                  </a:ln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EE_PB!$L$20:$AC$21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LB</c:v>
                        </c:pt>
                        <c:pt idx="1">
                          <c:v>ERI - 1</c:v>
                        </c:pt>
                        <c:pt idx="2">
                          <c:v>ERI - 2</c:v>
                        </c:pt>
                        <c:pt idx="3">
                          <c:v>LB</c:v>
                        </c:pt>
                        <c:pt idx="4">
                          <c:v>ERI - 1</c:v>
                        </c:pt>
                        <c:pt idx="5">
                          <c:v>ERI - 2</c:v>
                        </c:pt>
                        <c:pt idx="6">
                          <c:v>LB</c:v>
                        </c:pt>
                        <c:pt idx="7">
                          <c:v>ERI - 1</c:v>
                        </c:pt>
                        <c:pt idx="8">
                          <c:v>ERI - 2</c:v>
                        </c:pt>
                        <c:pt idx="9">
                          <c:v>LB</c:v>
                        </c:pt>
                        <c:pt idx="10">
                          <c:v>ERI - 1</c:v>
                        </c:pt>
                        <c:pt idx="11">
                          <c:v>ERI - 2</c:v>
                        </c:pt>
                        <c:pt idx="12">
                          <c:v>LB</c:v>
                        </c:pt>
                        <c:pt idx="13">
                          <c:v>ERI - 1</c:v>
                        </c:pt>
                        <c:pt idx="14">
                          <c:v>ERI - 2</c:v>
                        </c:pt>
                        <c:pt idx="15">
                          <c:v>LB</c:v>
                        </c:pt>
                        <c:pt idx="16">
                          <c:v>ERI - 1</c:v>
                        </c:pt>
                        <c:pt idx="17">
                          <c:v>ERI - 2</c:v>
                        </c:pt>
                      </c:lvl>
                      <c:lvl>
                        <c:pt idx="0">
                          <c:v>Planta A</c:v>
                        </c:pt>
                        <c:pt idx="3">
                          <c:v>Planta B</c:v>
                        </c:pt>
                        <c:pt idx="6">
                          <c:v>Planta C</c:v>
                        </c:pt>
                        <c:pt idx="9">
                          <c:v>Planta D</c:v>
                        </c:pt>
                        <c:pt idx="12">
                          <c:v>Planta E</c:v>
                        </c:pt>
                        <c:pt idx="15">
                          <c:v>Planta F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EE_PB!$L$27:$AC$27</c15:sqref>
                        </c15:formulaRef>
                      </c:ext>
                    </c:extLst>
                    <c:numCache>
                      <c:formatCode>0</c:formatCode>
                      <c:ptCount val="18"/>
                      <c:pt idx="0" formatCode="General">
                        <c:v>0</c:v>
                      </c:pt>
                      <c:pt idx="1">
                        <c:v>1462.76976384</c:v>
                      </c:pt>
                      <c:pt idx="2">
                        <c:v>3055.7279604095997</c:v>
                      </c:pt>
                      <c:pt idx="3">
                        <c:v>0</c:v>
                      </c:pt>
                      <c:pt idx="4">
                        <c:v>3215.4977567999999</c:v>
                      </c:pt>
                      <c:pt idx="5">
                        <c:v>4443.1995619199997</c:v>
                      </c:pt>
                      <c:pt idx="6">
                        <c:v>0</c:v>
                      </c:pt>
                      <c:pt idx="7">
                        <c:v>1804.9764499200001</c:v>
                      </c:pt>
                      <c:pt idx="8">
                        <c:v>3252.8490912287994</c:v>
                      </c:pt>
                      <c:pt idx="9">
                        <c:v>600</c:v>
                      </c:pt>
                      <c:pt idx="10">
                        <c:v>2434.2023059199996</c:v>
                      </c:pt>
                      <c:pt idx="11">
                        <c:v>2791.3477756953598</c:v>
                      </c:pt>
                      <c:pt idx="12">
                        <c:v>0</c:v>
                      </c:pt>
                      <c:pt idx="13">
                        <c:v>2400.6268943999999</c:v>
                      </c:pt>
                      <c:pt idx="14">
                        <c:v>3459.1663779724799</c:v>
                      </c:pt>
                      <c:pt idx="15">
                        <c:v>0</c:v>
                      </c:pt>
                      <c:pt idx="16">
                        <c:v>1248.61922304</c:v>
                      </c:pt>
                      <c:pt idx="17">
                        <c:v>2132.6906350848003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905-4D35-95FD-B3854C868CF8}"/>
                  </c:ext>
                </c:extLst>
              </c15:ser>
            </c15:filteredBarSeries>
          </c:ext>
        </c:extLst>
      </c:barChart>
      <c:barChart>
        <c:barDir val="col"/>
        <c:grouping val="stacked"/>
        <c:varyColors val="0"/>
        <c:ser>
          <c:idx val="4"/>
          <c:order val="0"/>
          <c:tx>
            <c:strRef>
              <c:f>EE_PB!$K$22</c:f>
              <c:strCache>
                <c:ptCount val="1"/>
                <c:pt idx="0">
                  <c:v>Electricidad</c:v>
                </c:pt>
              </c:strCache>
            </c:strRef>
          </c:tx>
          <c:spPr>
            <a:pattFill prst="pct50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multiLvlStrRef>
              <c:f>EE_PB!$L$20:$AC$21</c:f>
              <c:multiLvlStrCache>
                <c:ptCount val="18"/>
                <c:lvl>
                  <c:pt idx="0">
                    <c:v>LB</c:v>
                  </c:pt>
                  <c:pt idx="1">
                    <c:v>ERI - 1</c:v>
                  </c:pt>
                  <c:pt idx="2">
                    <c:v>ERI - 2</c:v>
                  </c:pt>
                  <c:pt idx="3">
                    <c:v>LB</c:v>
                  </c:pt>
                  <c:pt idx="4">
                    <c:v>ERI - 1</c:v>
                  </c:pt>
                  <c:pt idx="5">
                    <c:v>ERI - 2</c:v>
                  </c:pt>
                  <c:pt idx="6">
                    <c:v>LB</c:v>
                  </c:pt>
                  <c:pt idx="7">
                    <c:v>ERI - 1</c:v>
                  </c:pt>
                  <c:pt idx="8">
                    <c:v>ERI - 2</c:v>
                  </c:pt>
                  <c:pt idx="9">
                    <c:v>LB</c:v>
                  </c:pt>
                  <c:pt idx="10">
                    <c:v>ERI - 1</c:v>
                  </c:pt>
                  <c:pt idx="11">
                    <c:v>ERI - 2</c:v>
                  </c:pt>
                  <c:pt idx="12">
                    <c:v>LB</c:v>
                  </c:pt>
                  <c:pt idx="13">
                    <c:v>ERI - 1</c:v>
                  </c:pt>
                  <c:pt idx="14">
                    <c:v>ERI - 2</c:v>
                  </c:pt>
                  <c:pt idx="15">
                    <c:v>LB</c:v>
                  </c:pt>
                  <c:pt idx="16">
                    <c:v>ERI - 1</c:v>
                  </c:pt>
                  <c:pt idx="17">
                    <c:v>ERI - 2</c:v>
                  </c:pt>
                </c:lvl>
                <c:lvl>
                  <c:pt idx="0">
                    <c:v>Planta A</c:v>
                  </c:pt>
                  <c:pt idx="3">
                    <c:v>Planta B</c:v>
                  </c:pt>
                  <c:pt idx="6">
                    <c:v>Planta C</c:v>
                  </c:pt>
                  <c:pt idx="9">
                    <c:v>Planta D</c:v>
                  </c:pt>
                  <c:pt idx="12">
                    <c:v>Planta E</c:v>
                  </c:pt>
                  <c:pt idx="15">
                    <c:v>Planta F</c:v>
                  </c:pt>
                </c:lvl>
              </c:multiLvlStrCache>
            </c:multiLvlStrRef>
          </c:cat>
          <c:val>
            <c:numRef>
              <c:f>EE_PB!$L$22:$AC$22</c:f>
              <c:numCache>
                <c:formatCode>0</c:formatCode>
                <c:ptCount val="18"/>
                <c:pt idx="0" formatCode="General">
                  <c:v>772.50000000000011</c:v>
                </c:pt>
                <c:pt idx="1">
                  <c:v>1620.4805835956622</c:v>
                </c:pt>
                <c:pt idx="2">
                  <c:v>1309.5976973184002</c:v>
                </c:pt>
                <c:pt idx="3" formatCode="General">
                  <c:v>657.59999999999991</c:v>
                </c:pt>
                <c:pt idx="4">
                  <c:v>2279.77902295479</c:v>
                </c:pt>
                <c:pt idx="5">
                  <c:v>1904.2283836799998</c:v>
                </c:pt>
                <c:pt idx="6" formatCode="General">
                  <c:v>648.6</c:v>
                </c:pt>
                <c:pt idx="7">
                  <c:v>1462.1206459552614</c:v>
                </c:pt>
                <c:pt idx="8">
                  <c:v>1394.0781819551999</c:v>
                </c:pt>
                <c:pt idx="9" formatCode="General">
                  <c:v>681.59999999999991</c:v>
                </c:pt>
                <c:pt idx="10">
                  <c:v>1590.2666444577685</c:v>
                </c:pt>
                <c:pt idx="11">
                  <c:v>1196.2919038694399</c:v>
                </c:pt>
                <c:pt idx="12" formatCode="General">
                  <c:v>906.24</c:v>
                </c:pt>
                <c:pt idx="13">
                  <c:v>1485.6476455355596</c:v>
                </c:pt>
                <c:pt idx="14">
                  <c:v>1482.4998762739201</c:v>
                </c:pt>
                <c:pt idx="15" formatCode="General">
                  <c:v>364</c:v>
                </c:pt>
                <c:pt idx="16">
                  <c:v>1301.3499225680071</c:v>
                </c:pt>
                <c:pt idx="17">
                  <c:v>914.0102721792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5-4D35-95FD-B3854C868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50"/>
        <c:axId val="1155632160"/>
        <c:axId val="1222197424"/>
      </c:barChart>
      <c:catAx>
        <c:axId val="121326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8282671"/>
        <c:crosses val="autoZero"/>
        <c:auto val="1"/>
        <c:lblAlgn val="ctr"/>
        <c:lblOffset val="100"/>
        <c:noMultiLvlLbl val="0"/>
      </c:catAx>
      <c:valAx>
        <c:axId val="718282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Demanda </a:t>
                </a:r>
                <a:r>
                  <a:rPr lang="es-CO" b="1" baseline="0"/>
                  <a:t>electrica (kW)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3269615"/>
        <c:crosses val="autoZero"/>
        <c:crossBetween val="between"/>
      </c:valAx>
      <c:valAx>
        <c:axId val="1222197424"/>
        <c:scaling>
          <c:orientation val="minMax"/>
          <c:max val="5000"/>
        </c:scaling>
        <c:delete val="0"/>
        <c:axPos val="r"/>
        <c:numFmt formatCode="General" sourceLinked="1"/>
        <c:majorTickMark val="out"/>
        <c:minorTickMark val="none"/>
        <c:tickLblPos val="nextTo"/>
        <c:crossAx val="1155632160"/>
        <c:crosses val="max"/>
        <c:crossBetween val="between"/>
      </c:valAx>
      <c:catAx>
        <c:axId val="1155632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2197424"/>
        <c:crosses val="autoZero"/>
        <c:auto val="1"/>
        <c:lblAlgn val="ctr"/>
        <c:lblOffset val="100"/>
        <c:noMultiLvlLbl val="0"/>
      </c:cat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Eficiencia!$C$239</c:f>
              <c:strCache>
                <c:ptCount val="1"/>
                <c:pt idx="0">
                  <c:v>Planta A</c:v>
                </c:pt>
              </c:strCache>
            </c:strRef>
          </c:tx>
          <c:spPr>
            <a:solidFill>
              <a:sysClr val="window" lastClr="FFFFFF">
                <a:lumMod val="85000"/>
              </a:sys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Eficiencia!$A$240:$B$244</c:f>
              <c:multiLvlStrCache>
                <c:ptCount val="5"/>
                <c:lvl>
                  <c:pt idx="0">
                    <c:v>η diésel</c:v>
                  </c:pt>
                  <c:pt idx="1">
                    <c:v>η cogeneración</c:v>
                  </c:pt>
                  <c:pt idx="2">
                    <c:v>η biogás</c:v>
                  </c:pt>
                  <c:pt idx="3">
                    <c:v>η  Caldera</c:v>
                  </c:pt>
                  <c:pt idx="4">
                    <c:v>η Global </c:v>
                  </c:pt>
                </c:lvl>
                <c:lvl>
                  <c:pt idx="0">
                    <c:v>Electrica</c:v>
                  </c:pt>
                  <c:pt idx="3">
                    <c:v>Térmica</c:v>
                  </c:pt>
                  <c:pt idx="4">
                    <c:v>Proceso</c:v>
                  </c:pt>
                </c:lvl>
              </c:multiLvlStrCache>
            </c:multiLvlStrRef>
          </c:cat>
          <c:val>
            <c:numRef>
              <c:f>Eficiencia!$C$240:$C$244</c:f>
              <c:numCache>
                <c:formatCode>0%</c:formatCode>
                <c:ptCount val="5"/>
                <c:pt idx="0">
                  <c:v>0.26497482669647582</c:v>
                </c:pt>
                <c:pt idx="1">
                  <c:v>0.128</c:v>
                </c:pt>
                <c:pt idx="2">
                  <c:v>0</c:v>
                </c:pt>
                <c:pt idx="3">
                  <c:v>0.75718757203348552</c:v>
                </c:pt>
                <c:pt idx="4" formatCode="0.0%">
                  <c:v>0.21366300793112306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8-4C97-A702-99E6681C49A0}"/>
            </c:ext>
          </c:extLst>
        </c:ser>
        <c:ser>
          <c:idx val="1"/>
          <c:order val="1"/>
          <c:tx>
            <c:strRef>
              <c:f>Eficiencia!$D$239</c:f>
              <c:strCache>
                <c:ptCount val="1"/>
                <c:pt idx="0">
                  <c:v>Planta B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Eficiencia!$A$240:$B$244</c:f>
              <c:multiLvlStrCache>
                <c:ptCount val="5"/>
                <c:lvl>
                  <c:pt idx="0">
                    <c:v>η diésel</c:v>
                  </c:pt>
                  <c:pt idx="1">
                    <c:v>η cogeneración</c:v>
                  </c:pt>
                  <c:pt idx="2">
                    <c:v>η biogás</c:v>
                  </c:pt>
                  <c:pt idx="3">
                    <c:v>η  Caldera</c:v>
                  </c:pt>
                  <c:pt idx="4">
                    <c:v>η Global </c:v>
                  </c:pt>
                </c:lvl>
                <c:lvl>
                  <c:pt idx="0">
                    <c:v>Electrica</c:v>
                  </c:pt>
                  <c:pt idx="3">
                    <c:v>Térmica</c:v>
                  </c:pt>
                  <c:pt idx="4">
                    <c:v>Proceso</c:v>
                  </c:pt>
                </c:lvl>
              </c:multiLvlStrCache>
            </c:multiLvlStrRef>
          </c:cat>
          <c:val>
            <c:numRef>
              <c:f>Eficiencia!$D$240:$D$244</c:f>
              <c:numCache>
                <c:formatCode>0%</c:formatCode>
                <c:ptCount val="5"/>
                <c:pt idx="0">
                  <c:v>0.27469588215511381</c:v>
                </c:pt>
                <c:pt idx="1">
                  <c:v>0</c:v>
                </c:pt>
                <c:pt idx="2">
                  <c:v>0</c:v>
                </c:pt>
                <c:pt idx="3">
                  <c:v>0.57678744815256089</c:v>
                </c:pt>
                <c:pt idx="4" formatCode="0.0%">
                  <c:v>0.155220869242748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8-4C97-A702-99E6681C49A0}"/>
            </c:ext>
          </c:extLst>
        </c:ser>
        <c:ser>
          <c:idx val="2"/>
          <c:order val="2"/>
          <c:tx>
            <c:strRef>
              <c:f>Eficiencia!$E$239</c:f>
              <c:strCache>
                <c:ptCount val="1"/>
                <c:pt idx="0">
                  <c:v>Planta C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Eficiencia!$A$240:$B$244</c:f>
              <c:multiLvlStrCache>
                <c:ptCount val="5"/>
                <c:lvl>
                  <c:pt idx="0">
                    <c:v>η diésel</c:v>
                  </c:pt>
                  <c:pt idx="1">
                    <c:v>η cogeneración</c:v>
                  </c:pt>
                  <c:pt idx="2">
                    <c:v>η biogás</c:v>
                  </c:pt>
                  <c:pt idx="3">
                    <c:v>η  Caldera</c:v>
                  </c:pt>
                  <c:pt idx="4">
                    <c:v>η Global </c:v>
                  </c:pt>
                </c:lvl>
                <c:lvl>
                  <c:pt idx="0">
                    <c:v>Electrica</c:v>
                  </c:pt>
                  <c:pt idx="3">
                    <c:v>Térmica</c:v>
                  </c:pt>
                  <c:pt idx="4">
                    <c:v>Proceso</c:v>
                  </c:pt>
                </c:lvl>
              </c:multiLvlStrCache>
            </c:multiLvlStrRef>
          </c:cat>
          <c:val>
            <c:numRef>
              <c:f>Eficiencia!$E$240:$E$244</c:f>
              <c:numCache>
                <c:formatCode>0%</c:formatCode>
                <c:ptCount val="5"/>
                <c:pt idx="0">
                  <c:v>0.23730789928892893</c:v>
                </c:pt>
                <c:pt idx="1">
                  <c:v>0</c:v>
                </c:pt>
                <c:pt idx="2">
                  <c:v>0</c:v>
                </c:pt>
                <c:pt idx="3">
                  <c:v>0.66889287560594612</c:v>
                </c:pt>
                <c:pt idx="4" formatCode="0.0%">
                  <c:v>0.17340123260473184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28-4C97-A702-99E6681C49A0}"/>
            </c:ext>
          </c:extLst>
        </c:ser>
        <c:ser>
          <c:idx val="3"/>
          <c:order val="3"/>
          <c:tx>
            <c:strRef>
              <c:f>Eficiencia!$F$239</c:f>
              <c:strCache>
                <c:ptCount val="1"/>
                <c:pt idx="0">
                  <c:v>Planta D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Eficiencia!$A$240:$B$244</c:f>
              <c:multiLvlStrCache>
                <c:ptCount val="5"/>
                <c:lvl>
                  <c:pt idx="0">
                    <c:v>η diésel</c:v>
                  </c:pt>
                  <c:pt idx="1">
                    <c:v>η cogeneración</c:v>
                  </c:pt>
                  <c:pt idx="2">
                    <c:v>η biogás</c:v>
                  </c:pt>
                  <c:pt idx="3">
                    <c:v>η  Caldera</c:v>
                  </c:pt>
                  <c:pt idx="4">
                    <c:v>η Global </c:v>
                  </c:pt>
                </c:lvl>
                <c:lvl>
                  <c:pt idx="0">
                    <c:v>Electrica</c:v>
                  </c:pt>
                  <c:pt idx="3">
                    <c:v>Térmica</c:v>
                  </c:pt>
                  <c:pt idx="4">
                    <c:v>Proceso</c:v>
                  </c:pt>
                </c:lvl>
              </c:multiLvlStrCache>
            </c:multiLvlStrRef>
          </c:cat>
          <c:val>
            <c:numRef>
              <c:f>Eficiencia!$F$240:$F$244</c:f>
              <c:numCache>
                <c:formatCode>0%</c:formatCode>
                <c:ptCount val="5"/>
                <c:pt idx="0">
                  <c:v>0.33083071943485648</c:v>
                </c:pt>
                <c:pt idx="1">
                  <c:v>0</c:v>
                </c:pt>
                <c:pt idx="2">
                  <c:v>0.154</c:v>
                </c:pt>
                <c:pt idx="3">
                  <c:v>0.54123573717130069</c:v>
                </c:pt>
                <c:pt idx="4" formatCode="0.0%">
                  <c:v>0.16190251976165301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28-4C97-A702-99E6681C49A0}"/>
            </c:ext>
          </c:extLst>
        </c:ser>
        <c:ser>
          <c:idx val="4"/>
          <c:order val="4"/>
          <c:tx>
            <c:strRef>
              <c:f>Eficiencia!$G$239</c:f>
              <c:strCache>
                <c:ptCount val="1"/>
                <c:pt idx="0">
                  <c:v>Planta E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multiLvlStrRef>
              <c:f>Eficiencia!$A$240:$B$244</c:f>
              <c:multiLvlStrCache>
                <c:ptCount val="5"/>
                <c:lvl>
                  <c:pt idx="0">
                    <c:v>η diésel</c:v>
                  </c:pt>
                  <c:pt idx="1">
                    <c:v>η cogeneración</c:v>
                  </c:pt>
                  <c:pt idx="2">
                    <c:v>η biogás</c:v>
                  </c:pt>
                  <c:pt idx="3">
                    <c:v>η  Caldera</c:v>
                  </c:pt>
                  <c:pt idx="4">
                    <c:v>η Global </c:v>
                  </c:pt>
                </c:lvl>
                <c:lvl>
                  <c:pt idx="0">
                    <c:v>Electrica</c:v>
                  </c:pt>
                  <c:pt idx="3">
                    <c:v>Térmica</c:v>
                  </c:pt>
                  <c:pt idx="4">
                    <c:v>Proceso</c:v>
                  </c:pt>
                </c:lvl>
              </c:multiLvlStrCache>
            </c:multiLvlStrRef>
          </c:cat>
          <c:val>
            <c:numRef>
              <c:f>Eficiencia!$G$240:$G$244</c:f>
              <c:numCache>
                <c:formatCode>0%</c:formatCode>
                <c:ptCount val="5"/>
                <c:pt idx="0">
                  <c:v>0.30932172293439375</c:v>
                </c:pt>
                <c:pt idx="1">
                  <c:v>0</c:v>
                </c:pt>
                <c:pt idx="2">
                  <c:v>0</c:v>
                </c:pt>
                <c:pt idx="3">
                  <c:v>0.55722051491592106</c:v>
                </c:pt>
                <c:pt idx="4" formatCode="0.0%">
                  <c:v>0.1479105322155024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28-4C97-A702-99E6681C49A0}"/>
            </c:ext>
          </c:extLst>
        </c:ser>
        <c:ser>
          <c:idx val="5"/>
          <c:order val="5"/>
          <c:tx>
            <c:strRef>
              <c:f>Eficiencia!$H$239</c:f>
              <c:strCache>
                <c:ptCount val="1"/>
                <c:pt idx="0">
                  <c:v>Planta F</c:v>
                </c:pt>
              </c:strCache>
            </c:strRef>
          </c:tx>
          <c:spPr>
            <a:solidFill>
              <a:sysClr val="windowText" lastClr="000000">
                <a:lumMod val="75000"/>
                <a:lumOff val="25000"/>
              </a:sys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multiLvlStrRef>
              <c:f>Eficiencia!$A$240:$B$244</c:f>
              <c:multiLvlStrCache>
                <c:ptCount val="5"/>
                <c:lvl>
                  <c:pt idx="0">
                    <c:v>η diésel</c:v>
                  </c:pt>
                  <c:pt idx="1">
                    <c:v>η cogeneración</c:v>
                  </c:pt>
                  <c:pt idx="2">
                    <c:v>η biogás</c:v>
                  </c:pt>
                  <c:pt idx="3">
                    <c:v>η  Caldera</c:v>
                  </c:pt>
                  <c:pt idx="4">
                    <c:v>η Global </c:v>
                  </c:pt>
                </c:lvl>
                <c:lvl>
                  <c:pt idx="0">
                    <c:v>Electrica</c:v>
                  </c:pt>
                  <c:pt idx="3">
                    <c:v>Térmica</c:v>
                  </c:pt>
                  <c:pt idx="4">
                    <c:v>Proceso</c:v>
                  </c:pt>
                </c:lvl>
              </c:multiLvlStrCache>
            </c:multiLvlStrRef>
          </c:cat>
          <c:val>
            <c:numRef>
              <c:f>Eficiencia!$H$240:$H$244</c:f>
              <c:numCache>
                <c:formatCode>0%</c:formatCode>
                <c:ptCount val="5"/>
                <c:pt idx="0">
                  <c:v>0.25784157021381837</c:v>
                </c:pt>
                <c:pt idx="1">
                  <c:v>0</c:v>
                </c:pt>
                <c:pt idx="2">
                  <c:v>0</c:v>
                </c:pt>
                <c:pt idx="3">
                  <c:v>0.67225096966724796</c:v>
                </c:pt>
                <c:pt idx="4" formatCode="0.0%">
                  <c:v>0.19027946427479761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28-4C97-A702-99E6681C4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314527"/>
        <c:axId val="9816128"/>
      </c:barChart>
      <c:catAx>
        <c:axId val="2126314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16128"/>
        <c:crosses val="autoZero"/>
        <c:auto val="1"/>
        <c:lblAlgn val="ctr"/>
        <c:lblOffset val="100"/>
        <c:noMultiLvlLbl val="0"/>
      </c:catAx>
      <c:valAx>
        <c:axId val="981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26314527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Línea Base</c:v>
          </c:tx>
          <c:spPr>
            <a:solidFill>
              <a:sysClr val="window" lastClr="FFFFFF">
                <a:lumMod val="85000"/>
              </a:sys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EmisionesCO2!$A$22:$A$27</c:f>
              <c:strCache>
                <c:ptCount val="6"/>
                <c:pt idx="0">
                  <c:v>Planta A</c:v>
                </c:pt>
                <c:pt idx="1">
                  <c:v>Planta B</c:v>
                </c:pt>
                <c:pt idx="2">
                  <c:v>Planta C</c:v>
                </c:pt>
                <c:pt idx="3">
                  <c:v>Planta D</c:v>
                </c:pt>
                <c:pt idx="4">
                  <c:v>Planta E</c:v>
                </c:pt>
                <c:pt idx="5">
                  <c:v>Planta F</c:v>
                </c:pt>
              </c:strCache>
            </c:strRef>
          </c:cat>
          <c:val>
            <c:numRef>
              <c:f>EmisionesCO2!$AM$4:$AM$9</c:f>
              <c:numCache>
                <c:formatCode>0.0</c:formatCode>
                <c:ptCount val="6"/>
                <c:pt idx="0">
                  <c:v>40.737060482124491</c:v>
                </c:pt>
                <c:pt idx="1">
                  <c:v>156.20983467364294</c:v>
                </c:pt>
                <c:pt idx="2">
                  <c:v>142.17807779704745</c:v>
                </c:pt>
                <c:pt idx="3">
                  <c:v>33.042776989707662</c:v>
                </c:pt>
                <c:pt idx="4">
                  <c:v>150.6285870808166</c:v>
                </c:pt>
                <c:pt idx="5">
                  <c:v>134.97889664685937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8-4C97-A702-99E6681C49A0}"/>
            </c:ext>
          </c:extLst>
        </c:ser>
        <c:ser>
          <c:idx val="1"/>
          <c:order val="1"/>
          <c:tx>
            <c:v>Escenario 1</c:v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EmisionesCO2!$A$22:$A$27</c:f>
              <c:strCache>
                <c:ptCount val="6"/>
                <c:pt idx="0">
                  <c:v>Planta A</c:v>
                </c:pt>
                <c:pt idx="1">
                  <c:v>Planta B</c:v>
                </c:pt>
                <c:pt idx="2">
                  <c:v>Planta C</c:v>
                </c:pt>
                <c:pt idx="3">
                  <c:v>Planta D</c:v>
                </c:pt>
                <c:pt idx="4">
                  <c:v>Planta E</c:v>
                </c:pt>
                <c:pt idx="5">
                  <c:v>Planta F</c:v>
                </c:pt>
              </c:strCache>
            </c:strRef>
          </c:cat>
          <c:val>
            <c:numRef>
              <c:f>EmisionesCO2!$Z$13:$Z$18</c:f>
              <c:numCache>
                <c:formatCode>0.0</c:formatCode>
                <c:ptCount val="6"/>
                <c:pt idx="0">
                  <c:v>67.544457170894063</c:v>
                </c:pt>
                <c:pt idx="1">
                  <c:v>61.370666940084533</c:v>
                </c:pt>
                <c:pt idx="2">
                  <c:v>67.687318163994149</c:v>
                </c:pt>
                <c:pt idx="3">
                  <c:v>67.771392431178782</c:v>
                </c:pt>
                <c:pt idx="4">
                  <c:v>96.108397714923697</c:v>
                </c:pt>
                <c:pt idx="5">
                  <c:v>79.081791588320897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8-4C97-A702-99E6681C49A0}"/>
            </c:ext>
          </c:extLst>
        </c:ser>
        <c:ser>
          <c:idx val="2"/>
          <c:order val="2"/>
          <c:tx>
            <c:v>Escenario 2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EmisionesCO2!$A$22:$A$27</c:f>
              <c:strCache>
                <c:ptCount val="6"/>
                <c:pt idx="0">
                  <c:v>Planta A</c:v>
                </c:pt>
                <c:pt idx="1">
                  <c:v>Planta B</c:v>
                </c:pt>
                <c:pt idx="2">
                  <c:v>Planta C</c:v>
                </c:pt>
                <c:pt idx="3">
                  <c:v>Planta D</c:v>
                </c:pt>
                <c:pt idx="4">
                  <c:v>Planta E</c:v>
                </c:pt>
                <c:pt idx="5">
                  <c:v>Planta F</c:v>
                </c:pt>
              </c:strCache>
            </c:strRef>
          </c:cat>
          <c:val>
            <c:numRef>
              <c:f>EmisionesCO2!$Z$22:$Z$27</c:f>
              <c:numCache>
                <c:formatCode>0.0</c:formatCode>
                <c:ptCount val="6"/>
                <c:pt idx="0">
                  <c:v>30.565875063565851</c:v>
                </c:pt>
                <c:pt idx="1">
                  <c:v>28.331239028769645</c:v>
                </c:pt>
                <c:pt idx="2">
                  <c:v>31.448136706940403</c:v>
                </c:pt>
                <c:pt idx="3">
                  <c:v>36.035944740283902</c:v>
                </c:pt>
                <c:pt idx="4">
                  <c:v>47.152618241878706</c:v>
                </c:pt>
                <c:pt idx="5">
                  <c:v>40.30774590794654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28-4C97-A702-99E6681C4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314527"/>
        <c:axId val="9816128"/>
      </c:barChart>
      <c:catAx>
        <c:axId val="2126314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16128"/>
        <c:crosses val="autoZero"/>
        <c:auto val="1"/>
        <c:lblAlgn val="ctr"/>
        <c:lblOffset val="100"/>
        <c:noMultiLvlLbl val="0"/>
      </c:catAx>
      <c:valAx>
        <c:axId val="9816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Emisiones GEI</a:t>
                </a:r>
                <a:r>
                  <a:rPr lang="es-CO" baseline="0"/>
                  <a:t> específicas (g</a:t>
                </a:r>
                <a:r>
                  <a:rPr lang="es-CO" baseline="-25000"/>
                  <a:t>CO2eq</a:t>
                </a:r>
                <a:r>
                  <a:rPr lang="es-CO" baseline="0"/>
                  <a:t>・kWh</a:t>
                </a:r>
                <a:r>
                  <a:rPr lang="es-CO" baseline="30000"/>
                  <a:t>-1</a:t>
                </a:r>
                <a:r>
                  <a:rPr lang="es-CO" baseline="0"/>
                  <a:t>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26314527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Hoja2!$N$19</c:f>
              <c:strCache>
                <c:ptCount val="1"/>
                <c:pt idx="0">
                  <c:v>Planta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Hoja2!$O$17:$Q$18</c:f>
              <c:multiLvlStrCache>
                <c:ptCount val="3"/>
                <c:lvl>
                  <c:pt idx="0">
                    <c:v>GWh -año</c:v>
                  </c:pt>
                  <c:pt idx="1">
                    <c:v>GWh -año</c:v>
                  </c:pt>
                </c:lvl>
                <c:lvl>
                  <c:pt idx="0">
                    <c:v>ERI -1</c:v>
                  </c:pt>
                  <c:pt idx="1">
                    <c:v>ERI -2</c:v>
                  </c:pt>
                  <c:pt idx="2">
                    <c:v>Demanda residencial rural Departamento Magdalena</c:v>
                  </c:pt>
                </c:lvl>
              </c:multiLvlStrCache>
            </c:multiLvlStrRef>
          </c:cat>
          <c:val>
            <c:numRef>
              <c:f>Hoja2!$O$19:$Q$19</c:f>
              <c:numCache>
                <c:formatCode>0</c:formatCode>
                <c:ptCount val="3"/>
                <c:pt idx="0">
                  <c:v>34.012672747449173</c:v>
                </c:pt>
                <c:pt idx="1">
                  <c:v>19.317643973506897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B-47BF-B735-3C7F87F33E05}"/>
            </c:ext>
          </c:extLst>
        </c:ser>
        <c:ser>
          <c:idx val="1"/>
          <c:order val="1"/>
          <c:tx>
            <c:strRef>
              <c:f>Hoja2!$N$20</c:f>
              <c:strCache>
                <c:ptCount val="1"/>
                <c:pt idx="0">
                  <c:v>Planta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Hoja2!$O$17:$Q$18</c:f>
              <c:multiLvlStrCache>
                <c:ptCount val="3"/>
                <c:lvl>
                  <c:pt idx="0">
                    <c:v>GWh -año</c:v>
                  </c:pt>
                  <c:pt idx="1">
                    <c:v>GWh -año</c:v>
                  </c:pt>
                </c:lvl>
                <c:lvl>
                  <c:pt idx="0">
                    <c:v>ERI -1</c:v>
                  </c:pt>
                  <c:pt idx="1">
                    <c:v>ERI -2</c:v>
                  </c:pt>
                  <c:pt idx="2">
                    <c:v>Demanda residencial rural Departamento Magdalena</c:v>
                  </c:pt>
                </c:lvl>
              </c:multiLvlStrCache>
            </c:multiLvlStrRef>
          </c:cat>
          <c:val>
            <c:numRef>
              <c:f>Hoja2!$O$20:$Q$20</c:f>
              <c:numCache>
                <c:formatCode>0</c:formatCode>
                <c:ptCount val="3"/>
                <c:pt idx="0">
                  <c:v>43.793044758986525</c:v>
                </c:pt>
                <c:pt idx="1">
                  <c:v>25.937645666956197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B-47BF-B735-3C7F87F33E05}"/>
            </c:ext>
          </c:extLst>
        </c:ser>
        <c:ser>
          <c:idx val="2"/>
          <c:order val="2"/>
          <c:tx>
            <c:strRef>
              <c:f>Hoja2!$N$21</c:f>
              <c:strCache>
                <c:ptCount val="1"/>
                <c:pt idx="0">
                  <c:v>Planta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Hoja2!$O$17:$Q$18</c:f>
              <c:multiLvlStrCache>
                <c:ptCount val="3"/>
                <c:lvl>
                  <c:pt idx="0">
                    <c:v>GWh -año</c:v>
                  </c:pt>
                  <c:pt idx="1">
                    <c:v>GWh -año</c:v>
                  </c:pt>
                </c:lvl>
                <c:lvl>
                  <c:pt idx="0">
                    <c:v>ERI -1</c:v>
                  </c:pt>
                  <c:pt idx="1">
                    <c:v>ERI -2</c:v>
                  </c:pt>
                  <c:pt idx="2">
                    <c:v>Demanda residencial rural Departamento Magdalena</c:v>
                  </c:pt>
                </c:lvl>
              </c:multiLvlStrCache>
            </c:multiLvlStrRef>
          </c:cat>
          <c:val>
            <c:numRef>
              <c:f>Hoja2!$O$21:$Q$21</c:f>
              <c:numCache>
                <c:formatCode>0</c:formatCode>
                <c:ptCount val="3"/>
                <c:pt idx="0">
                  <c:v>39.496788087966273</c:v>
                </c:pt>
                <c:pt idx="1">
                  <c:v>23.765464765215484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1B-47BF-B735-3C7F87F33E05}"/>
            </c:ext>
          </c:extLst>
        </c:ser>
        <c:ser>
          <c:idx val="3"/>
          <c:order val="3"/>
          <c:tx>
            <c:strRef>
              <c:f>Hoja2!$N$22</c:f>
              <c:strCache>
                <c:ptCount val="1"/>
                <c:pt idx="0">
                  <c:v>Planta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Hoja2!$O$17:$Q$18</c:f>
              <c:multiLvlStrCache>
                <c:ptCount val="3"/>
                <c:lvl>
                  <c:pt idx="0">
                    <c:v>GWh -año</c:v>
                  </c:pt>
                  <c:pt idx="1">
                    <c:v>GWh -año</c:v>
                  </c:pt>
                </c:lvl>
                <c:lvl>
                  <c:pt idx="0">
                    <c:v>ERI -1</c:v>
                  </c:pt>
                  <c:pt idx="1">
                    <c:v>ERI -2</c:v>
                  </c:pt>
                  <c:pt idx="2">
                    <c:v>Demanda residencial rural Departamento Magdalena</c:v>
                  </c:pt>
                </c:lvl>
              </c:multiLvlStrCache>
            </c:multiLvlStrRef>
          </c:cat>
          <c:val>
            <c:numRef>
              <c:f>Hoja2!$O$22:$Q$22</c:f>
              <c:numCache>
                <c:formatCode>0</c:formatCode>
                <c:ptCount val="3"/>
                <c:pt idx="0">
                  <c:v>28.695353261711606</c:v>
                </c:pt>
                <c:pt idx="1">
                  <c:v>16.502864555479906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1B-47BF-B735-3C7F87F33E05}"/>
            </c:ext>
          </c:extLst>
        </c:ser>
        <c:ser>
          <c:idx val="4"/>
          <c:order val="4"/>
          <c:tx>
            <c:strRef>
              <c:f>Hoja2!$N$23</c:f>
              <c:strCache>
                <c:ptCount val="1"/>
                <c:pt idx="0">
                  <c:v>Planta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Hoja2!$O$17:$Q$18</c:f>
              <c:multiLvlStrCache>
                <c:ptCount val="3"/>
                <c:lvl>
                  <c:pt idx="0">
                    <c:v>GWh -año</c:v>
                  </c:pt>
                  <c:pt idx="1">
                    <c:v>GWh -año</c:v>
                  </c:pt>
                </c:lvl>
                <c:lvl>
                  <c:pt idx="0">
                    <c:v>ERI -1</c:v>
                  </c:pt>
                  <c:pt idx="1">
                    <c:v>ERI -2</c:v>
                  </c:pt>
                  <c:pt idx="2">
                    <c:v>Demanda residencial rural Departamento Magdalena</c:v>
                  </c:pt>
                </c:lvl>
              </c:multiLvlStrCache>
            </c:multiLvlStrRef>
          </c:cat>
          <c:val>
            <c:numRef>
              <c:f>Hoja2!$O$23:$Q$23</c:f>
              <c:numCache>
                <c:formatCode>0</c:formatCode>
                <c:ptCount val="3"/>
                <c:pt idx="0">
                  <c:v>21.441018548211268</c:v>
                </c:pt>
                <c:pt idx="1">
                  <c:v>13.104490716556809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1B-47BF-B735-3C7F87F33E05}"/>
            </c:ext>
          </c:extLst>
        </c:ser>
        <c:ser>
          <c:idx val="5"/>
          <c:order val="5"/>
          <c:tx>
            <c:strRef>
              <c:f>Hoja2!$N$24</c:f>
              <c:strCache>
                <c:ptCount val="1"/>
                <c:pt idx="0">
                  <c:v>Planta 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Hoja2!$O$17:$Q$18</c:f>
              <c:multiLvlStrCache>
                <c:ptCount val="3"/>
                <c:lvl>
                  <c:pt idx="0">
                    <c:v>GWh -año</c:v>
                  </c:pt>
                  <c:pt idx="1">
                    <c:v>GWh -año</c:v>
                  </c:pt>
                </c:lvl>
                <c:lvl>
                  <c:pt idx="0">
                    <c:v>ERI -1</c:v>
                  </c:pt>
                  <c:pt idx="1">
                    <c:v>ERI -2</c:v>
                  </c:pt>
                  <c:pt idx="2">
                    <c:v>Demanda residencial rural Departamento Magdalena</c:v>
                  </c:pt>
                </c:lvl>
              </c:multiLvlStrCache>
            </c:multiLvlStrRef>
          </c:cat>
          <c:val>
            <c:numRef>
              <c:f>Hoja2!$O$24:$Q$24</c:f>
              <c:numCache>
                <c:formatCode>0</c:formatCode>
                <c:ptCount val="3"/>
                <c:pt idx="0">
                  <c:v>8.67272579058384</c:v>
                </c:pt>
                <c:pt idx="1">
                  <c:v>4.8234803567267894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1B-47BF-B735-3C7F87F33E05}"/>
            </c:ext>
          </c:extLst>
        </c:ser>
        <c:ser>
          <c:idx val="6"/>
          <c:order val="6"/>
          <c:tx>
            <c:strRef>
              <c:f>Hoja2!$N$25</c:f>
              <c:strCache>
                <c:ptCount val="1"/>
                <c:pt idx="0">
                  <c:v>Residencia Rural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Hoja2!$O$17:$Q$18</c:f>
              <c:multiLvlStrCache>
                <c:ptCount val="3"/>
                <c:lvl>
                  <c:pt idx="0">
                    <c:v>GWh -año</c:v>
                  </c:pt>
                  <c:pt idx="1">
                    <c:v>GWh -año</c:v>
                  </c:pt>
                </c:lvl>
                <c:lvl>
                  <c:pt idx="0">
                    <c:v>ERI -1</c:v>
                  </c:pt>
                  <c:pt idx="1">
                    <c:v>ERI -2</c:v>
                  </c:pt>
                  <c:pt idx="2">
                    <c:v>Demanda residencial rural Departamento Magdalena</c:v>
                  </c:pt>
                </c:lvl>
              </c:multiLvlStrCache>
            </c:multiLvlStrRef>
          </c:cat>
          <c:val>
            <c:numRef>
              <c:f>Hoja2!$O$25:$Q$25</c:f>
              <c:numCache>
                <c:formatCode>0</c:formatCode>
                <c:ptCount val="3"/>
                <c:pt idx="2">
                  <c:v>30.3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1B-47BF-B735-3C7F87F33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8751952"/>
        <c:axId val="11008176"/>
      </c:barChart>
      <c:catAx>
        <c:axId val="112875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08176"/>
        <c:crosses val="autoZero"/>
        <c:auto val="1"/>
        <c:lblAlgn val="ctr"/>
        <c:lblOffset val="100"/>
        <c:noMultiLvlLbl val="0"/>
      </c:catAx>
      <c:valAx>
        <c:axId val="1100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2875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Hoja2!$N$29</c:f>
              <c:strCache>
                <c:ptCount val="1"/>
                <c:pt idx="0">
                  <c:v>GWh -año</c:v>
                </c:pt>
              </c:strCache>
            </c:strRef>
          </c:tx>
          <c:spPr>
            <a:pattFill prst="pct10">
              <a:fgClr>
                <a:schemeClr val="tx1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enorite" panose="00000500000000000000" pitchFamily="2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Hoja2!$O$27:$S$28</c:f>
              <c:multiLvlStrCache>
                <c:ptCount val="5"/>
                <c:lvl>
                  <c:pt idx="0">
                    <c:v>ERI -1</c:v>
                  </c:pt>
                  <c:pt idx="1">
                    <c:v>ERI -2</c:v>
                  </c:pt>
                  <c:pt idx="2">
                    <c:v>Residencial
 Rural</c:v>
                  </c:pt>
                  <c:pt idx="3">
                    <c:v>Residencial Urbana</c:v>
                  </c:pt>
                  <c:pt idx="4">
                    <c:v>Total departamento</c:v>
                  </c:pt>
                </c:lvl>
                <c:lvl>
                  <c:pt idx="0">
                    <c:v>Escenarios estudiados</c:v>
                  </c:pt>
                  <c:pt idx="2">
                    <c:v>Demanda energètica 
Departamento Magdalena (2025)</c:v>
                  </c:pt>
                </c:lvl>
              </c:multiLvlStrCache>
            </c:multiLvlStrRef>
          </c:cat>
          <c:val>
            <c:numRef>
              <c:f>Hoja2!$O$29:$S$29</c:f>
              <c:numCache>
                <c:formatCode>0.0</c:formatCode>
                <c:ptCount val="5"/>
                <c:pt idx="0">
                  <c:v>176.1116031949087</c:v>
                </c:pt>
                <c:pt idx="1">
                  <c:v>103.45159003444208</c:v>
                </c:pt>
                <c:pt idx="2" formatCode="0">
                  <c:v>30.3</c:v>
                </c:pt>
                <c:pt idx="3">
                  <c:v>1209</c:v>
                </c:pt>
                <c:pt idx="4" formatCode="0">
                  <c:v>2430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F-43AC-AF20-50B05842D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702864"/>
        <c:axId val="571701424"/>
      </c:barChart>
      <c:catAx>
        <c:axId val="57170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es-CO"/>
          </a:p>
        </c:txPr>
        <c:crossAx val="571701424"/>
        <c:crosses val="autoZero"/>
        <c:auto val="1"/>
        <c:lblAlgn val="ctr"/>
        <c:lblOffset val="100"/>
        <c:noMultiLvlLbl val="0"/>
      </c:catAx>
      <c:valAx>
        <c:axId val="57170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GWh・año</a:t>
                </a:r>
                <a:r>
                  <a:rPr lang="es-CO" baseline="30000"/>
                  <a:t>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es-CO"/>
          </a:p>
        </c:txPr>
        <c:crossAx val="571702864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666750</xdr:colOff>
      <xdr:row>80</xdr:row>
      <xdr:rowOff>381000</xdr:rowOff>
    </xdr:from>
    <xdr:to>
      <xdr:col>10</xdr:col>
      <xdr:colOff>676756</xdr:colOff>
      <xdr:row>83</xdr:row>
      <xdr:rowOff>104864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67168A-4AF5-941A-37AE-E9CC06E5B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12592050"/>
          <a:ext cx="3448531" cy="638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552449</xdr:colOff>
      <xdr:row>4</xdr:row>
      <xdr:rowOff>152400</xdr:rowOff>
    </xdr:from>
    <xdr:to>
      <xdr:col>17</xdr:col>
      <xdr:colOff>390524</xdr:colOff>
      <xdr:row>19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7F8093-8831-0D89-F26B-CF17ADBA7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</xdr:colOff>
      <xdr:row>0</xdr:row>
      <xdr:rowOff>0</xdr:rowOff>
    </xdr:from>
    <xdr:to>
      <xdr:col>59</xdr:col>
      <xdr:colOff>310713</xdr:colOff>
      <xdr:row>160</xdr:row>
      <xdr:rowOff>14330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CA0E8A2-548B-75AB-F08F-1603E865537A}"/>
            </a:ext>
          </a:extLst>
        </xdr:cNvPr>
        <xdr:cNvGrpSpPr/>
      </xdr:nvGrpSpPr>
      <xdr:grpSpPr>
        <a:xfrm>
          <a:off x="133" y="0"/>
          <a:ext cx="39873620" cy="24398330"/>
          <a:chOff x="-438080" y="275964"/>
          <a:chExt cx="41883656" cy="23636330"/>
        </a:xfrm>
      </xdr:grpSpPr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F46AF7FF-978A-3D34-1C99-74623CDFE272}"/>
              </a:ext>
            </a:extLst>
          </xdr:cNvPr>
          <xdr:cNvSpPr/>
        </xdr:nvSpPr>
        <xdr:spPr>
          <a:xfrm>
            <a:off x="14184506" y="3456785"/>
            <a:ext cx="2520000" cy="126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Esterilización Convencional</a:t>
            </a:r>
            <a:endParaRPr lang="en-US" sz="2400">
              <a:latin typeface="Abadi" panose="020B0604020104020204" pitchFamily="34" charset="0"/>
            </a:endParaRPr>
          </a:p>
        </xdr:txBody>
      </xdr:sp>
      <xdr:sp macro="" textlink="">
        <xdr:nvSpPr>
          <xdr:cNvPr id="8" name="Rectángulo 7">
            <a:extLst>
              <a:ext uri="{FF2B5EF4-FFF2-40B4-BE49-F238E27FC236}">
                <a16:creationId xmlns:a16="http://schemas.microsoft.com/office/drawing/2014/main" id="{60D79EE6-BB42-97EF-5357-15B75C04F16E}"/>
              </a:ext>
            </a:extLst>
          </xdr:cNvPr>
          <xdr:cNvSpPr/>
        </xdr:nvSpPr>
        <xdr:spPr>
          <a:xfrm>
            <a:off x="18500153" y="3455061"/>
            <a:ext cx="2520000" cy="126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Desfrutado</a:t>
            </a:r>
          </a:p>
        </xdr:txBody>
      </xdr:sp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B6C808E4-13D6-85AD-F263-0F5B122EAE2D}"/>
              </a:ext>
            </a:extLst>
          </xdr:cNvPr>
          <xdr:cNvSpPr/>
        </xdr:nvSpPr>
        <xdr:spPr>
          <a:xfrm>
            <a:off x="23003528" y="3456785"/>
            <a:ext cx="2520000" cy="126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Extracción</a:t>
            </a:r>
          </a:p>
        </xdr:txBody>
      </xdr:sp>
      <xdr:sp macro="" textlink="">
        <xdr:nvSpPr>
          <xdr:cNvPr id="10" name="Rectángulo 9">
            <a:extLst>
              <a:ext uri="{FF2B5EF4-FFF2-40B4-BE49-F238E27FC236}">
                <a16:creationId xmlns:a16="http://schemas.microsoft.com/office/drawing/2014/main" id="{B649ED7C-B3C4-96ED-702D-4D3D0FF980D5}"/>
              </a:ext>
            </a:extLst>
          </xdr:cNvPr>
          <xdr:cNvSpPr/>
        </xdr:nvSpPr>
        <xdr:spPr>
          <a:xfrm>
            <a:off x="23000454" y="8266477"/>
            <a:ext cx="2520000" cy="126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Desfibración</a:t>
            </a:r>
            <a:endParaRPr lang="en-US" sz="2400">
              <a:latin typeface="Abadi" panose="020B0604020104020204" pitchFamily="34" charset="0"/>
            </a:endParaRPr>
          </a:p>
        </xdr:txBody>
      </xdr:sp>
      <xdr:sp macro="" textlink="">
        <xdr:nvSpPr>
          <xdr:cNvPr id="11" name="Rectángulo 10">
            <a:extLst>
              <a:ext uri="{FF2B5EF4-FFF2-40B4-BE49-F238E27FC236}">
                <a16:creationId xmlns:a16="http://schemas.microsoft.com/office/drawing/2014/main" id="{0B7A384F-A372-DEBF-2C71-0F4F5030DC1B}"/>
              </a:ext>
            </a:extLst>
          </xdr:cNvPr>
          <xdr:cNvSpPr/>
        </xdr:nvSpPr>
        <xdr:spPr>
          <a:xfrm>
            <a:off x="31908765" y="3446376"/>
            <a:ext cx="2520000" cy="126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Almacenamiento</a:t>
            </a:r>
          </a:p>
        </xdr:txBody>
      </xdr:sp>
      <xdr:sp macro="" textlink="">
        <xdr:nvSpPr>
          <xdr:cNvPr id="12" name="Rectángulo 11">
            <a:extLst>
              <a:ext uri="{FF2B5EF4-FFF2-40B4-BE49-F238E27FC236}">
                <a16:creationId xmlns:a16="http://schemas.microsoft.com/office/drawing/2014/main" id="{5E7A46E5-255E-2A9D-7CDF-75CB87305CAC}"/>
              </a:ext>
            </a:extLst>
          </xdr:cNvPr>
          <xdr:cNvSpPr/>
        </xdr:nvSpPr>
        <xdr:spPr>
          <a:xfrm>
            <a:off x="27428244" y="3460456"/>
            <a:ext cx="2520000" cy="126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Clarificación</a:t>
            </a:r>
          </a:p>
          <a:p>
            <a:pPr algn="ctr"/>
            <a:r>
              <a:rPr lang="en-US" sz="2400">
                <a:latin typeface="Abadi" panose="020B0604020104020204" pitchFamily="34" charset="0"/>
              </a:rPr>
              <a:t> </a:t>
            </a:r>
            <a:r>
              <a:rPr lang="es-CO" sz="2400">
                <a:latin typeface="Abadi" panose="020B0604020104020204" pitchFamily="34" charset="0"/>
              </a:rPr>
              <a:t>Convencional</a:t>
            </a:r>
          </a:p>
        </xdr:txBody>
      </xdr:sp>
      <xdr:sp macro="" textlink="">
        <xdr:nvSpPr>
          <xdr:cNvPr id="13" name="Rectángulo 12">
            <a:extLst>
              <a:ext uri="{FF2B5EF4-FFF2-40B4-BE49-F238E27FC236}">
                <a16:creationId xmlns:a16="http://schemas.microsoft.com/office/drawing/2014/main" id="{248D4B7D-0944-EE16-AD0D-2B4B2D4625D0}"/>
              </a:ext>
            </a:extLst>
          </xdr:cNvPr>
          <xdr:cNvSpPr/>
        </xdr:nvSpPr>
        <xdr:spPr>
          <a:xfrm>
            <a:off x="18499059" y="8289047"/>
            <a:ext cx="2520000" cy="126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Prensado</a:t>
            </a:r>
            <a:r>
              <a:rPr lang="en-US" sz="2400">
                <a:latin typeface="Abadi" panose="020B0604020104020204" pitchFamily="34" charset="0"/>
              </a:rPr>
              <a:t> de raquis</a:t>
            </a:r>
          </a:p>
        </xdr:txBody>
      </xdr:sp>
      <xdr:cxnSp macro="">
        <xdr:nvCxnSpPr>
          <xdr:cNvPr id="14" name="Conector recto de flecha 13">
            <a:extLst>
              <a:ext uri="{FF2B5EF4-FFF2-40B4-BE49-F238E27FC236}">
                <a16:creationId xmlns:a16="http://schemas.microsoft.com/office/drawing/2014/main" id="{3B10710F-9A39-F234-C0EE-E50082C7B403}"/>
              </a:ext>
            </a:extLst>
          </xdr:cNvPr>
          <xdr:cNvCxnSpPr>
            <a:cxnSpLocks/>
            <a:stCxn id="33" idx="3"/>
            <a:endCxn id="38" idx="1"/>
          </xdr:cNvCxnSpPr>
        </xdr:nvCxnSpPr>
        <xdr:spPr>
          <a:xfrm flipV="1">
            <a:off x="7964484" y="4079374"/>
            <a:ext cx="1841985" cy="7411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Conector recto de flecha 15">
            <a:extLst>
              <a:ext uri="{FF2B5EF4-FFF2-40B4-BE49-F238E27FC236}">
                <a16:creationId xmlns:a16="http://schemas.microsoft.com/office/drawing/2014/main" id="{54C1B2B4-F072-CF57-3F3E-ECE0D04FD11C}"/>
              </a:ext>
            </a:extLst>
          </xdr:cNvPr>
          <xdr:cNvCxnSpPr>
            <a:cxnSpLocks/>
            <a:stCxn id="10" idx="3"/>
            <a:endCxn id="20" idx="1"/>
          </xdr:cNvCxnSpPr>
        </xdr:nvCxnSpPr>
        <xdr:spPr>
          <a:xfrm flipV="1">
            <a:off x="25520454" y="8882291"/>
            <a:ext cx="1902326" cy="14186"/>
          </a:xfrm>
          <a:prstGeom prst="straightConnector1">
            <a:avLst/>
          </a:prstGeom>
          <a:ln w="57150"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7" name="Conector recto de flecha 16">
            <a:extLst>
              <a:ext uri="{FF2B5EF4-FFF2-40B4-BE49-F238E27FC236}">
                <a16:creationId xmlns:a16="http://schemas.microsoft.com/office/drawing/2014/main" id="{B7C9EE4C-733B-A6EA-E7E2-EC3791A3D1A8}"/>
              </a:ext>
            </a:extLst>
          </xdr:cNvPr>
          <xdr:cNvCxnSpPr>
            <a:cxnSpLocks/>
            <a:stCxn id="9" idx="3"/>
            <a:endCxn id="12" idx="1"/>
          </xdr:cNvCxnSpPr>
        </xdr:nvCxnSpPr>
        <xdr:spPr>
          <a:xfrm>
            <a:off x="25523528" y="4086785"/>
            <a:ext cx="1904716" cy="3671"/>
          </a:xfrm>
          <a:prstGeom prst="straightConnector1">
            <a:avLst/>
          </a:prstGeom>
          <a:ln w="57150"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Conector recto de flecha 17">
            <a:extLst>
              <a:ext uri="{FF2B5EF4-FFF2-40B4-BE49-F238E27FC236}">
                <a16:creationId xmlns:a16="http://schemas.microsoft.com/office/drawing/2014/main" id="{2DE543A7-B1E4-6ABF-D395-C714CC0028DE}"/>
              </a:ext>
            </a:extLst>
          </xdr:cNvPr>
          <xdr:cNvCxnSpPr>
            <a:cxnSpLocks/>
            <a:stCxn id="9" idx="2"/>
            <a:endCxn id="10" idx="0"/>
          </xdr:cNvCxnSpPr>
        </xdr:nvCxnSpPr>
        <xdr:spPr>
          <a:xfrm flipH="1">
            <a:off x="24260454" y="4716785"/>
            <a:ext cx="3074" cy="3549692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Conector recto de flecha 18">
            <a:extLst>
              <a:ext uri="{FF2B5EF4-FFF2-40B4-BE49-F238E27FC236}">
                <a16:creationId xmlns:a16="http://schemas.microsoft.com/office/drawing/2014/main" id="{1C288D11-EF5C-F3E8-874F-1CAB7B9C57BF}"/>
              </a:ext>
            </a:extLst>
          </xdr:cNvPr>
          <xdr:cNvCxnSpPr>
            <a:cxnSpLocks/>
            <a:stCxn id="8" idx="2"/>
            <a:endCxn id="13" idx="0"/>
          </xdr:cNvCxnSpPr>
        </xdr:nvCxnSpPr>
        <xdr:spPr>
          <a:xfrm flipH="1">
            <a:off x="19759059" y="4715061"/>
            <a:ext cx="1094" cy="3573986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" name="Rectángulo 19">
            <a:extLst>
              <a:ext uri="{FF2B5EF4-FFF2-40B4-BE49-F238E27FC236}">
                <a16:creationId xmlns:a16="http://schemas.microsoft.com/office/drawing/2014/main" id="{4B8E374C-AFFA-C058-D885-548F637C459B}"/>
              </a:ext>
            </a:extLst>
          </xdr:cNvPr>
          <xdr:cNvSpPr/>
        </xdr:nvSpPr>
        <xdr:spPr>
          <a:xfrm>
            <a:off x="27422780" y="8252291"/>
            <a:ext cx="2520000" cy="126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Palmistería</a:t>
            </a:r>
          </a:p>
        </xdr:txBody>
      </xdr:sp>
      <xdr:cxnSp macro="">
        <xdr:nvCxnSpPr>
          <xdr:cNvPr id="21" name="Conector recto de flecha 20">
            <a:extLst>
              <a:ext uri="{FF2B5EF4-FFF2-40B4-BE49-F238E27FC236}">
                <a16:creationId xmlns:a16="http://schemas.microsoft.com/office/drawing/2014/main" id="{DBB7A74C-34F4-4462-6107-05DF6CF3F4E4}"/>
              </a:ext>
            </a:extLst>
          </xdr:cNvPr>
          <xdr:cNvCxnSpPr>
            <a:cxnSpLocks/>
            <a:stCxn id="12" idx="3"/>
            <a:endCxn id="11" idx="1"/>
          </xdr:cNvCxnSpPr>
        </xdr:nvCxnSpPr>
        <xdr:spPr>
          <a:xfrm flipV="1">
            <a:off x="29948244" y="4076376"/>
            <a:ext cx="1960521" cy="14080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Conector recto de flecha 21">
            <a:extLst>
              <a:ext uri="{FF2B5EF4-FFF2-40B4-BE49-F238E27FC236}">
                <a16:creationId xmlns:a16="http://schemas.microsoft.com/office/drawing/2014/main" id="{082FD033-F9B9-7289-2303-7DB03EFF8C04}"/>
              </a:ext>
            </a:extLst>
          </xdr:cNvPr>
          <xdr:cNvCxnSpPr>
            <a:cxnSpLocks/>
            <a:stCxn id="8" idx="3"/>
            <a:endCxn id="9" idx="1"/>
          </xdr:cNvCxnSpPr>
        </xdr:nvCxnSpPr>
        <xdr:spPr>
          <a:xfrm>
            <a:off x="21020153" y="4085061"/>
            <a:ext cx="1983375" cy="1724"/>
          </a:xfrm>
          <a:prstGeom prst="straightConnector1">
            <a:avLst/>
          </a:prstGeom>
          <a:ln w="57150"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A0E880EB-87F4-2418-34D4-547A6E9575B0}"/>
              </a:ext>
            </a:extLst>
          </xdr:cNvPr>
          <xdr:cNvCxnSpPr>
            <a:cxnSpLocks/>
            <a:stCxn id="7" idx="3"/>
            <a:endCxn id="8" idx="1"/>
          </xdr:cNvCxnSpPr>
        </xdr:nvCxnSpPr>
        <xdr:spPr>
          <a:xfrm flipV="1">
            <a:off x="16704506" y="4085061"/>
            <a:ext cx="1795647" cy="1724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Conector recto de flecha 23">
            <a:extLst>
              <a:ext uri="{FF2B5EF4-FFF2-40B4-BE49-F238E27FC236}">
                <a16:creationId xmlns:a16="http://schemas.microsoft.com/office/drawing/2014/main" id="{34121580-6FF6-F3C1-6E99-334771594D35}"/>
              </a:ext>
            </a:extLst>
          </xdr:cNvPr>
          <xdr:cNvCxnSpPr>
            <a:cxnSpLocks/>
            <a:stCxn id="53" idx="4"/>
            <a:endCxn id="156" idx="0"/>
          </xdr:cNvCxnSpPr>
        </xdr:nvCxnSpPr>
        <xdr:spPr>
          <a:xfrm>
            <a:off x="12888222" y="6972264"/>
            <a:ext cx="0" cy="4821275"/>
          </a:xfrm>
          <a:prstGeom prst="straightConnector1">
            <a:avLst/>
          </a:prstGeom>
          <a:ln w="57150">
            <a:prstDash val="dash"/>
            <a:headEnd type="none" w="med" len="med"/>
            <a:tailEnd type="triangl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5" name="CuadroTexto 94">
                <a:extLst>
                  <a:ext uri="{FF2B5EF4-FFF2-40B4-BE49-F238E27FC236}">
                    <a16:creationId xmlns:a16="http://schemas.microsoft.com/office/drawing/2014/main" id="{09666385-89F8-EEB7-68A2-C7EB962721AC}"/>
                  </a:ext>
                </a:extLst>
              </xdr:cNvPr>
              <xdr:cNvSpPr txBox="1"/>
            </xdr:nvSpPr>
            <xdr:spPr>
              <a:xfrm flipH="1">
                <a:off x="13455111" y="2104804"/>
                <a:ext cx="1662976" cy="475643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2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2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240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e>
                          </m:acc>
                        </m:e>
                        <m:sub>
                          <m:r>
                            <a:rPr lang="es-CO" sz="2400" i="1">
                              <a:latin typeface="Cambria Math" panose="02040503050406030204" pitchFamily="18" charset="0"/>
                            </a:rPr>
                            <m:t>𝑣𝑒𝑛𝑡</m:t>
                          </m:r>
                        </m:sub>
                      </m:sSub>
                    </m:oMath>
                  </m:oMathPara>
                </a14:m>
                <a:endParaRPr lang="en-US" sz="2400">
                  <a:latin typeface="Abadi" panose="020B0604020104020204" pitchFamily="34" charset="0"/>
                </a:endParaRPr>
              </a:p>
            </xdr:txBody>
          </xdr:sp>
        </mc:Choice>
        <mc:Fallback xmlns="">
          <xdr:sp macro="" textlink="">
            <xdr:nvSpPr>
              <xdr:cNvPr id="25" name="CuadroTexto 94">
                <a:extLst>
                  <a:ext uri="{FF2B5EF4-FFF2-40B4-BE49-F238E27FC236}">
                    <a16:creationId xmlns:a16="http://schemas.microsoft.com/office/drawing/2014/main" id="{09666385-89F8-EEB7-68A2-C7EB962721AC}"/>
                  </a:ext>
                </a:extLst>
              </xdr:cNvPr>
              <xdr:cNvSpPr txBox="1"/>
            </xdr:nvSpPr>
            <xdr:spPr>
              <a:xfrm flipH="1">
                <a:off x="13455111" y="2104804"/>
                <a:ext cx="1662976" cy="475643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2400" i="0">
                    <a:latin typeface="Cambria Math" panose="02040503050406030204" pitchFamily="18" charset="0"/>
                  </a:rPr>
                  <a:t>𝑄</a:t>
                </a:r>
                <a:r>
                  <a:rPr lang="en-US" sz="2400" i="0">
                    <a:latin typeface="Cambria Math" panose="02040503050406030204" pitchFamily="18" charset="0"/>
                  </a:rPr>
                  <a:t> ̇_</a:t>
                </a:r>
                <a:r>
                  <a:rPr lang="es-CO" sz="2400" i="0">
                    <a:latin typeface="Cambria Math" panose="02040503050406030204" pitchFamily="18" charset="0"/>
                  </a:rPr>
                  <a:t>𝑣𝑒𝑛𝑡</a:t>
                </a:r>
                <a:endParaRPr lang="en-US" sz="2400">
                  <a:latin typeface="Abadi" panose="020B0604020104020204" pitchFamily="34" charset="0"/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6" name="CuadroTexto 331">
                <a:extLst>
                  <a:ext uri="{FF2B5EF4-FFF2-40B4-BE49-F238E27FC236}">
                    <a16:creationId xmlns:a16="http://schemas.microsoft.com/office/drawing/2014/main" id="{2E607C97-B3F7-6ECE-9753-B91BF12294B5}"/>
                  </a:ext>
                </a:extLst>
              </xdr:cNvPr>
              <xdr:cNvSpPr txBox="1"/>
            </xdr:nvSpPr>
            <xdr:spPr>
              <a:xfrm>
                <a:off x="21479689" y="16394545"/>
                <a:ext cx="1662976" cy="47320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2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2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24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2400" i="1">
                              <a:latin typeface="Cambria Math" panose="02040503050406030204" pitchFamily="18" charset="0"/>
                            </a:rPr>
                            <m:t>𝑛𝑒𝑡</m:t>
                          </m:r>
                        </m:sub>
                      </m:sSub>
                    </m:oMath>
                  </m:oMathPara>
                </a14:m>
                <a:endParaRPr lang="en-US" sz="2400">
                  <a:latin typeface="Abadi" panose="020B0604020104020204" pitchFamily="34" charset="0"/>
                </a:endParaRPr>
              </a:p>
            </xdr:txBody>
          </xdr:sp>
        </mc:Choice>
        <mc:Fallback xmlns="">
          <xdr:sp macro="" textlink="">
            <xdr:nvSpPr>
              <xdr:cNvPr id="26" name="CuadroTexto 331">
                <a:extLst>
                  <a:ext uri="{FF2B5EF4-FFF2-40B4-BE49-F238E27FC236}">
                    <a16:creationId xmlns:a16="http://schemas.microsoft.com/office/drawing/2014/main" id="{2E607C97-B3F7-6ECE-9753-B91BF12294B5}"/>
                  </a:ext>
                </a:extLst>
              </xdr:cNvPr>
              <xdr:cNvSpPr txBox="1"/>
            </xdr:nvSpPr>
            <xdr:spPr>
              <a:xfrm>
                <a:off x="21479689" y="16394545"/>
                <a:ext cx="1662976" cy="47320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2400" i="0">
                    <a:latin typeface="Cambria Math" panose="02040503050406030204" pitchFamily="18" charset="0"/>
                  </a:rPr>
                  <a:t>𝑊</a:t>
                </a:r>
                <a:r>
                  <a:rPr lang="en-US" sz="2400" i="0">
                    <a:latin typeface="Cambria Math" panose="02040503050406030204" pitchFamily="18" charset="0"/>
                  </a:rPr>
                  <a:t> ̇_</a:t>
                </a:r>
                <a:r>
                  <a:rPr lang="es-CO" sz="2400" i="0">
                    <a:latin typeface="Cambria Math" panose="02040503050406030204" pitchFamily="18" charset="0"/>
                  </a:rPr>
                  <a:t>𝑛𝑒𝑡</a:t>
                </a:r>
                <a:endParaRPr lang="en-US" sz="2400">
                  <a:latin typeface="Abadi" panose="020B0604020104020204" pitchFamily="34" charset="0"/>
                </a:endParaRPr>
              </a:p>
            </xdr:txBody>
          </xdr:sp>
        </mc:Fallback>
      </mc:AlternateContent>
      <xdr:sp macro="" textlink="">
        <xdr:nvSpPr>
          <xdr:cNvPr id="27" name="CuadroTexto 361">
            <a:extLst>
              <a:ext uri="{FF2B5EF4-FFF2-40B4-BE49-F238E27FC236}">
                <a16:creationId xmlns:a16="http://schemas.microsoft.com/office/drawing/2014/main" id="{348C37E0-F0EE-09F4-564D-70C6EE171271}"/>
              </a:ext>
            </a:extLst>
          </xdr:cNvPr>
          <xdr:cNvSpPr txBox="1"/>
        </xdr:nvSpPr>
        <xdr:spPr>
          <a:xfrm>
            <a:off x="18250595" y="10013296"/>
            <a:ext cx="1662976" cy="59803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400">
                <a:latin typeface="Abadi" panose="020B0604020104020204" pitchFamily="34" charset="0"/>
              </a:rPr>
              <a:t>Raquis</a:t>
            </a:r>
          </a:p>
        </xdr:txBody>
      </xdr:sp>
      <xdr:sp macro="" textlink="">
        <xdr:nvSpPr>
          <xdr:cNvPr id="28" name="CuadroTexto 364">
            <a:extLst>
              <a:ext uri="{FF2B5EF4-FFF2-40B4-BE49-F238E27FC236}">
                <a16:creationId xmlns:a16="http://schemas.microsoft.com/office/drawing/2014/main" id="{A95C7D24-D521-C8DE-9AF3-E15CD19A475C}"/>
              </a:ext>
            </a:extLst>
          </xdr:cNvPr>
          <xdr:cNvSpPr txBox="1"/>
        </xdr:nvSpPr>
        <xdr:spPr>
          <a:xfrm>
            <a:off x="27351564" y="10056701"/>
            <a:ext cx="1128919" cy="48710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Cuesco</a:t>
            </a:r>
          </a:p>
        </xdr:txBody>
      </xdr:sp>
      <xdr:cxnSp macro="">
        <xdr:nvCxnSpPr>
          <xdr:cNvPr id="29" name="Conector recto de flecha 28">
            <a:extLst>
              <a:ext uri="{FF2B5EF4-FFF2-40B4-BE49-F238E27FC236}">
                <a16:creationId xmlns:a16="http://schemas.microsoft.com/office/drawing/2014/main" id="{E6C495BD-D162-07E6-A63E-029375AECC8D}"/>
              </a:ext>
            </a:extLst>
          </xdr:cNvPr>
          <xdr:cNvCxnSpPr>
            <a:cxnSpLocks/>
            <a:stCxn id="11" idx="3"/>
          </xdr:cNvCxnSpPr>
        </xdr:nvCxnSpPr>
        <xdr:spPr>
          <a:xfrm>
            <a:off x="34428765" y="4076376"/>
            <a:ext cx="1799999" cy="0"/>
          </a:xfrm>
          <a:prstGeom prst="straightConnector1">
            <a:avLst/>
          </a:prstGeom>
          <a:ln w="57150"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0" name="CuadroTexto 368">
            <a:extLst>
              <a:ext uri="{FF2B5EF4-FFF2-40B4-BE49-F238E27FC236}">
                <a16:creationId xmlns:a16="http://schemas.microsoft.com/office/drawing/2014/main" id="{2752EBBD-A3E0-0696-ACCD-D0F3F62D6462}"/>
              </a:ext>
            </a:extLst>
          </xdr:cNvPr>
          <xdr:cNvSpPr txBox="1"/>
        </xdr:nvSpPr>
        <xdr:spPr>
          <a:xfrm>
            <a:off x="36183546" y="3783512"/>
            <a:ext cx="1662976" cy="59803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400">
                <a:latin typeface="Abadi" panose="020B0604020104020204" pitchFamily="34" charset="0"/>
              </a:rPr>
              <a:t>Aceite crudo de Palma</a:t>
            </a:r>
          </a:p>
        </xdr:txBody>
      </xdr:sp>
      <xdr:sp macro="" textlink="">
        <xdr:nvSpPr>
          <xdr:cNvPr id="31" name="CuadroTexto 364">
            <a:extLst>
              <a:ext uri="{FF2B5EF4-FFF2-40B4-BE49-F238E27FC236}">
                <a16:creationId xmlns:a16="http://schemas.microsoft.com/office/drawing/2014/main" id="{A5AC4A93-9058-2AE4-FDE6-4F8A9F1E3C0C}"/>
              </a:ext>
            </a:extLst>
          </xdr:cNvPr>
          <xdr:cNvSpPr txBox="1"/>
        </xdr:nvSpPr>
        <xdr:spPr>
          <a:xfrm>
            <a:off x="24733544" y="10094382"/>
            <a:ext cx="1128919" cy="48710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Fibra</a:t>
            </a:r>
          </a:p>
        </xdr:txBody>
      </xdr:sp>
      <xdr:cxnSp macro="">
        <xdr:nvCxnSpPr>
          <xdr:cNvPr id="32" name="Conector recto de flecha 31">
            <a:extLst>
              <a:ext uri="{FF2B5EF4-FFF2-40B4-BE49-F238E27FC236}">
                <a16:creationId xmlns:a16="http://schemas.microsoft.com/office/drawing/2014/main" id="{1844E27B-DE64-6BE1-75F4-72F6941732DC}"/>
              </a:ext>
            </a:extLst>
          </xdr:cNvPr>
          <xdr:cNvCxnSpPr>
            <a:cxnSpLocks/>
            <a:stCxn id="20" idx="3"/>
          </xdr:cNvCxnSpPr>
        </xdr:nvCxnSpPr>
        <xdr:spPr>
          <a:xfrm flipV="1">
            <a:off x="29942780" y="8869503"/>
            <a:ext cx="1951916" cy="12788"/>
          </a:xfrm>
          <a:prstGeom prst="straightConnector1">
            <a:avLst/>
          </a:prstGeom>
          <a:ln w="57150"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" name="Rectángulo: esquinas redondeadas 32">
            <a:extLst>
              <a:ext uri="{FF2B5EF4-FFF2-40B4-BE49-F238E27FC236}">
                <a16:creationId xmlns:a16="http://schemas.microsoft.com/office/drawing/2014/main" id="{529D3B4B-F2D7-09AF-C7D5-121B7548E29B}"/>
              </a:ext>
            </a:extLst>
          </xdr:cNvPr>
          <xdr:cNvSpPr/>
        </xdr:nvSpPr>
        <xdr:spPr>
          <a:xfrm>
            <a:off x="5444484" y="3456785"/>
            <a:ext cx="2520000" cy="1260000"/>
          </a:xfrm>
          <a:prstGeom prst="roundRect">
            <a:avLst/>
          </a:prstGeom>
          <a:solidFill>
            <a:srgbClr val="0070C0">
              <a:alpha val="60000"/>
            </a:srgbClr>
          </a:solidFill>
          <a:ln w="285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solidFill>
                  <a:schemeClr val="tx1"/>
                </a:solidFill>
                <a:latin typeface="Abadi" panose="020B0604020104020204" pitchFamily="34" charset="0"/>
              </a:rPr>
              <a:t>Plantación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id="{357BEC6E-5260-4623-7881-D37661D166D9}"/>
              </a:ext>
            </a:extLst>
          </xdr:cNvPr>
          <xdr:cNvSpPr/>
        </xdr:nvSpPr>
        <xdr:spPr>
          <a:xfrm>
            <a:off x="3653681" y="2488683"/>
            <a:ext cx="288000" cy="288000"/>
          </a:xfrm>
          <a:prstGeom prst="ellipse">
            <a:avLst/>
          </a:prstGeom>
          <a:noFill/>
          <a:ln w="285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2400"/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id="{224F1076-2B08-463A-64FB-7A72712BC6FD}"/>
              </a:ext>
            </a:extLst>
          </xdr:cNvPr>
          <xdr:cNvSpPr/>
        </xdr:nvSpPr>
        <xdr:spPr>
          <a:xfrm>
            <a:off x="3653681" y="5373352"/>
            <a:ext cx="288000" cy="288000"/>
          </a:xfrm>
          <a:prstGeom prst="ellipse">
            <a:avLst/>
          </a:prstGeom>
          <a:noFill/>
          <a:ln w="285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2400"/>
          </a:p>
        </xdr:txBody>
      </xdr:sp>
      <xdr:cxnSp macro="">
        <xdr:nvCxnSpPr>
          <xdr:cNvPr id="36" name="Conector: angular 35">
            <a:extLst>
              <a:ext uri="{FF2B5EF4-FFF2-40B4-BE49-F238E27FC236}">
                <a16:creationId xmlns:a16="http://schemas.microsoft.com/office/drawing/2014/main" id="{734FD8F3-22F8-8238-18D2-B701B903F9B7}"/>
              </a:ext>
            </a:extLst>
          </xdr:cNvPr>
          <xdr:cNvCxnSpPr>
            <a:cxnSpLocks/>
            <a:stCxn id="35" idx="6"/>
            <a:endCxn id="33" idx="1"/>
          </xdr:cNvCxnSpPr>
        </xdr:nvCxnSpPr>
        <xdr:spPr>
          <a:xfrm flipV="1">
            <a:off x="3941681" y="4086785"/>
            <a:ext cx="1502803" cy="1430567"/>
          </a:xfrm>
          <a:prstGeom prst="bentConnector3">
            <a:avLst>
              <a:gd name="adj1" fmla="val 50000"/>
            </a:avLst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Conector: angular 36">
            <a:extLst>
              <a:ext uri="{FF2B5EF4-FFF2-40B4-BE49-F238E27FC236}">
                <a16:creationId xmlns:a16="http://schemas.microsoft.com/office/drawing/2014/main" id="{6816B4B0-B77A-1BB2-43C0-38D45177DE8F}"/>
              </a:ext>
            </a:extLst>
          </xdr:cNvPr>
          <xdr:cNvCxnSpPr>
            <a:cxnSpLocks/>
            <a:stCxn id="34" idx="6"/>
            <a:endCxn id="33" idx="1"/>
          </xdr:cNvCxnSpPr>
        </xdr:nvCxnSpPr>
        <xdr:spPr>
          <a:xfrm>
            <a:off x="3941681" y="2632683"/>
            <a:ext cx="1502803" cy="1454102"/>
          </a:xfrm>
          <a:prstGeom prst="bentConnector3">
            <a:avLst>
              <a:gd name="adj1" fmla="val 50000"/>
            </a:avLst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Rectángulo 37">
            <a:extLst>
              <a:ext uri="{FF2B5EF4-FFF2-40B4-BE49-F238E27FC236}">
                <a16:creationId xmlns:a16="http://schemas.microsoft.com/office/drawing/2014/main" id="{DFE7240A-D26F-CABF-E236-67155A9E1B57}"/>
              </a:ext>
            </a:extLst>
          </xdr:cNvPr>
          <xdr:cNvSpPr/>
        </xdr:nvSpPr>
        <xdr:spPr>
          <a:xfrm>
            <a:off x="9806469" y="3449374"/>
            <a:ext cx="2520000" cy="126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Recepción</a:t>
            </a:r>
            <a:endParaRPr lang="en-US" sz="2400">
              <a:latin typeface="Abadi" panose="020B0604020104020204" pitchFamily="34" charset="0"/>
            </a:endParaRPr>
          </a:p>
        </xdr:txBody>
      </xdr:sp>
      <xdr:cxnSp macro="">
        <xdr:nvCxnSpPr>
          <xdr:cNvPr id="39" name="Conector recto de flecha 38">
            <a:extLst>
              <a:ext uri="{FF2B5EF4-FFF2-40B4-BE49-F238E27FC236}">
                <a16:creationId xmlns:a16="http://schemas.microsoft.com/office/drawing/2014/main" id="{66793032-803E-446F-F381-97FA077FDC21}"/>
              </a:ext>
            </a:extLst>
          </xdr:cNvPr>
          <xdr:cNvCxnSpPr>
            <a:cxnSpLocks/>
          </xdr:cNvCxnSpPr>
        </xdr:nvCxnSpPr>
        <xdr:spPr>
          <a:xfrm flipV="1">
            <a:off x="12334495" y="4068965"/>
            <a:ext cx="1841985" cy="7411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0" name="Rectángulo 39">
            <a:extLst>
              <a:ext uri="{FF2B5EF4-FFF2-40B4-BE49-F238E27FC236}">
                <a16:creationId xmlns:a16="http://schemas.microsoft.com/office/drawing/2014/main" id="{DB6EEF97-DA26-B9C2-C7BD-F016D5751B39}"/>
              </a:ext>
            </a:extLst>
          </xdr:cNvPr>
          <xdr:cNvSpPr/>
        </xdr:nvSpPr>
        <xdr:spPr>
          <a:xfrm>
            <a:off x="31894347" y="8290584"/>
            <a:ext cx="2520000" cy="126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>
                <a:latin typeface="Abadi" panose="020B0604020104020204" pitchFamily="34" charset="0"/>
              </a:rPr>
              <a:t>Extracción PKO</a:t>
            </a:r>
          </a:p>
        </xdr:txBody>
      </xdr:sp>
      <xdr:cxnSp macro="">
        <xdr:nvCxnSpPr>
          <xdr:cNvPr id="41" name="Conector recto de flecha 40">
            <a:extLst>
              <a:ext uri="{FF2B5EF4-FFF2-40B4-BE49-F238E27FC236}">
                <a16:creationId xmlns:a16="http://schemas.microsoft.com/office/drawing/2014/main" id="{83CBB1B1-20C5-76D3-CA8A-7F78EDC43963}"/>
              </a:ext>
            </a:extLst>
          </xdr:cNvPr>
          <xdr:cNvCxnSpPr>
            <a:cxnSpLocks/>
            <a:stCxn id="40" idx="3"/>
          </xdr:cNvCxnSpPr>
        </xdr:nvCxnSpPr>
        <xdr:spPr>
          <a:xfrm>
            <a:off x="34414347" y="8920584"/>
            <a:ext cx="1800000" cy="0"/>
          </a:xfrm>
          <a:prstGeom prst="straightConnector1">
            <a:avLst/>
          </a:prstGeom>
          <a:ln w="57150"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2" name="CuadroTexto 368">
            <a:extLst>
              <a:ext uri="{FF2B5EF4-FFF2-40B4-BE49-F238E27FC236}">
                <a16:creationId xmlns:a16="http://schemas.microsoft.com/office/drawing/2014/main" id="{9300CA74-D5C9-3A92-6D24-FE3B3BEDE3DA}"/>
              </a:ext>
            </a:extLst>
          </xdr:cNvPr>
          <xdr:cNvSpPr txBox="1"/>
        </xdr:nvSpPr>
        <xdr:spPr>
          <a:xfrm>
            <a:off x="36237245" y="8636366"/>
            <a:ext cx="1662976" cy="59803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400">
                <a:latin typeface="Abadi" panose="020B0604020104020204" pitchFamily="34" charset="0"/>
              </a:rPr>
              <a:t>Aceite palmiste</a:t>
            </a:r>
          </a:p>
        </xdr:txBody>
      </xdr:sp>
      <xdr:cxnSp macro="">
        <xdr:nvCxnSpPr>
          <xdr:cNvPr id="43" name="Conector: angular 42">
            <a:extLst>
              <a:ext uri="{FF2B5EF4-FFF2-40B4-BE49-F238E27FC236}">
                <a16:creationId xmlns:a16="http://schemas.microsoft.com/office/drawing/2014/main" id="{5BDDBB9B-ED25-EF93-0D57-E1EA9485B50B}"/>
              </a:ext>
            </a:extLst>
          </xdr:cNvPr>
          <xdr:cNvCxnSpPr>
            <a:cxnSpLocks/>
            <a:stCxn id="181" idx="2"/>
          </xdr:cNvCxnSpPr>
        </xdr:nvCxnSpPr>
        <xdr:spPr>
          <a:xfrm rot="5400000" flipH="1" flipV="1">
            <a:off x="24963713" y="3796318"/>
            <a:ext cx="1865966" cy="3013448"/>
          </a:xfrm>
          <a:prstGeom prst="bentConnector4">
            <a:avLst>
              <a:gd name="adj1" fmla="val -12251"/>
              <a:gd name="adj2" fmla="val 50000"/>
            </a:avLst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4" name="Grupo 43">
            <a:extLst>
              <a:ext uri="{FF2B5EF4-FFF2-40B4-BE49-F238E27FC236}">
                <a16:creationId xmlns:a16="http://schemas.microsoft.com/office/drawing/2014/main" id="{14604FA4-75AE-7507-B5D6-E2B6E6DEB8DA}"/>
              </a:ext>
            </a:extLst>
          </xdr:cNvPr>
          <xdr:cNvGrpSpPr/>
        </xdr:nvGrpSpPr>
        <xdr:grpSpPr>
          <a:xfrm>
            <a:off x="24137972" y="6110023"/>
            <a:ext cx="252000" cy="252000"/>
            <a:chOff x="25026938" y="5373651"/>
            <a:chExt cx="216000" cy="216003"/>
          </a:xfrm>
        </xdr:grpSpPr>
        <xdr:sp macro="" textlink="">
          <xdr:nvSpPr>
            <xdr:cNvPr id="181" name="Arco 180">
              <a:extLst>
                <a:ext uri="{FF2B5EF4-FFF2-40B4-BE49-F238E27FC236}">
                  <a16:creationId xmlns:a16="http://schemas.microsoft.com/office/drawing/2014/main" id="{50A9E1A3-2946-CA35-40FC-99A867B7D46F}"/>
                </a:ext>
              </a:extLst>
            </xdr:cNvPr>
            <xdr:cNvSpPr/>
          </xdr:nvSpPr>
          <xdr:spPr>
            <a:xfrm>
              <a:off x="25026938" y="5373654"/>
              <a:ext cx="216000" cy="216000"/>
            </a:xfrm>
            <a:prstGeom prst="arc">
              <a:avLst/>
            </a:prstGeom>
            <a:ln w="571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400"/>
            </a:p>
          </xdr:txBody>
        </xdr:sp>
        <xdr:sp macro="" textlink="">
          <xdr:nvSpPr>
            <xdr:cNvPr id="182" name="Arco 181">
              <a:extLst>
                <a:ext uri="{FF2B5EF4-FFF2-40B4-BE49-F238E27FC236}">
                  <a16:creationId xmlns:a16="http://schemas.microsoft.com/office/drawing/2014/main" id="{36493943-222E-79DB-3BAD-705BC4CAF0AF}"/>
                </a:ext>
              </a:extLst>
            </xdr:cNvPr>
            <xdr:cNvSpPr/>
          </xdr:nvSpPr>
          <xdr:spPr>
            <a:xfrm rot="16200000">
              <a:off x="25026938" y="5373651"/>
              <a:ext cx="216000" cy="216000"/>
            </a:xfrm>
            <a:prstGeom prst="arc">
              <a:avLst/>
            </a:prstGeom>
            <a:ln w="571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400"/>
            </a:p>
          </xdr:txBody>
        </xdr:sp>
      </xdr:grpSp>
      <xdr:cxnSp macro="">
        <xdr:nvCxnSpPr>
          <xdr:cNvPr id="45" name="Conector: angular 44">
            <a:extLst>
              <a:ext uri="{FF2B5EF4-FFF2-40B4-BE49-F238E27FC236}">
                <a16:creationId xmlns:a16="http://schemas.microsoft.com/office/drawing/2014/main" id="{62779887-3898-8FE1-8EB3-BCE7AE8AC18C}"/>
              </a:ext>
            </a:extLst>
          </xdr:cNvPr>
          <xdr:cNvCxnSpPr>
            <a:cxnSpLocks/>
          </xdr:cNvCxnSpPr>
        </xdr:nvCxnSpPr>
        <xdr:spPr>
          <a:xfrm rot="5400000">
            <a:off x="20161751" y="6512629"/>
            <a:ext cx="2069419" cy="1481853"/>
          </a:xfrm>
          <a:prstGeom prst="bentConnector3">
            <a:avLst>
              <a:gd name="adj1" fmla="val 799"/>
            </a:avLst>
          </a:prstGeom>
          <a:ln w="57150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Conector recto 45">
            <a:extLst>
              <a:ext uri="{FF2B5EF4-FFF2-40B4-BE49-F238E27FC236}">
                <a16:creationId xmlns:a16="http://schemas.microsoft.com/office/drawing/2014/main" id="{CC544204-3789-3A03-D364-092C39BB802F}"/>
              </a:ext>
            </a:extLst>
          </xdr:cNvPr>
          <xdr:cNvCxnSpPr>
            <a:cxnSpLocks/>
          </xdr:cNvCxnSpPr>
        </xdr:nvCxnSpPr>
        <xdr:spPr>
          <a:xfrm flipH="1" flipV="1">
            <a:off x="21929291" y="6235930"/>
            <a:ext cx="2222968" cy="92"/>
          </a:xfrm>
          <a:prstGeom prst="line">
            <a:avLst/>
          </a:prstGeom>
          <a:ln w="571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Elipse 46">
            <a:extLst>
              <a:ext uri="{FF2B5EF4-FFF2-40B4-BE49-F238E27FC236}">
                <a16:creationId xmlns:a16="http://schemas.microsoft.com/office/drawing/2014/main" id="{BEDB6457-C3FA-86B4-1A2D-37A6973EF233}"/>
              </a:ext>
            </a:extLst>
          </xdr:cNvPr>
          <xdr:cNvSpPr/>
        </xdr:nvSpPr>
        <xdr:spPr>
          <a:xfrm>
            <a:off x="26327617" y="10430079"/>
            <a:ext cx="288000" cy="288000"/>
          </a:xfrm>
          <a:prstGeom prst="ellipse">
            <a:avLst/>
          </a:prstGeom>
          <a:noFill/>
          <a:ln w="285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2400"/>
          </a:p>
        </xdr:txBody>
      </xdr:sp>
      <xdr:cxnSp macro="">
        <xdr:nvCxnSpPr>
          <xdr:cNvPr id="48" name="Conector: angular 47">
            <a:extLst>
              <a:ext uri="{FF2B5EF4-FFF2-40B4-BE49-F238E27FC236}">
                <a16:creationId xmlns:a16="http://schemas.microsoft.com/office/drawing/2014/main" id="{1B5BE9B1-BDCE-6D1F-D681-B55233C320CA}"/>
              </a:ext>
            </a:extLst>
          </xdr:cNvPr>
          <xdr:cNvCxnSpPr>
            <a:cxnSpLocks/>
            <a:stCxn id="10" idx="2"/>
            <a:endCxn id="47" idx="2"/>
          </xdr:cNvCxnSpPr>
        </xdr:nvCxnSpPr>
        <xdr:spPr>
          <a:xfrm rot="16200000" flipH="1">
            <a:off x="24770234" y="9016696"/>
            <a:ext cx="1047602" cy="2067163"/>
          </a:xfrm>
          <a:prstGeom prst="bentConnector2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Conector: angular 48">
            <a:extLst>
              <a:ext uri="{FF2B5EF4-FFF2-40B4-BE49-F238E27FC236}">
                <a16:creationId xmlns:a16="http://schemas.microsoft.com/office/drawing/2014/main" id="{3F11F83A-0F63-1CEB-70B2-E5B7FC8C591C}"/>
              </a:ext>
            </a:extLst>
          </xdr:cNvPr>
          <xdr:cNvCxnSpPr>
            <a:cxnSpLocks/>
            <a:stCxn id="20" idx="2"/>
            <a:endCxn id="47" idx="6"/>
          </xdr:cNvCxnSpPr>
        </xdr:nvCxnSpPr>
        <xdr:spPr>
          <a:xfrm rot="5400000">
            <a:off x="27118305" y="9009604"/>
            <a:ext cx="1061788" cy="2067163"/>
          </a:xfrm>
          <a:prstGeom prst="bentConnector2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Conector recto 49">
            <a:extLst>
              <a:ext uri="{FF2B5EF4-FFF2-40B4-BE49-F238E27FC236}">
                <a16:creationId xmlns:a16="http://schemas.microsoft.com/office/drawing/2014/main" id="{4F3AA20A-7833-E277-90EF-DD6A74D39764}"/>
              </a:ext>
            </a:extLst>
          </xdr:cNvPr>
          <xdr:cNvCxnSpPr>
            <a:cxnSpLocks/>
          </xdr:cNvCxnSpPr>
        </xdr:nvCxnSpPr>
        <xdr:spPr>
          <a:xfrm>
            <a:off x="10127617" y="1215392"/>
            <a:ext cx="28579091" cy="0"/>
          </a:xfrm>
          <a:prstGeom prst="line">
            <a:avLst/>
          </a:prstGeom>
          <a:ln w="57150">
            <a:solidFill>
              <a:srgbClr val="00B05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1" name="Grupo 50">
            <a:extLst>
              <a:ext uri="{FF2B5EF4-FFF2-40B4-BE49-F238E27FC236}">
                <a16:creationId xmlns:a16="http://schemas.microsoft.com/office/drawing/2014/main" id="{58EB43E9-0C42-F926-EB0F-C0B877C771F9}"/>
              </a:ext>
            </a:extLst>
          </xdr:cNvPr>
          <xdr:cNvGrpSpPr/>
        </xdr:nvGrpSpPr>
        <xdr:grpSpPr>
          <a:xfrm>
            <a:off x="-438080" y="11792016"/>
            <a:ext cx="22949295" cy="8778442"/>
            <a:chOff x="-281539" y="12558711"/>
            <a:chExt cx="22949295" cy="8778442"/>
          </a:xfrm>
        </xdr:grpSpPr>
        <xdr:sp macro="" textlink="">
          <xdr:nvSpPr>
            <xdr:cNvPr id="156" name="Rectángulo 155">
              <a:extLst>
                <a:ext uri="{FF2B5EF4-FFF2-40B4-BE49-F238E27FC236}">
                  <a16:creationId xmlns:a16="http://schemas.microsoft.com/office/drawing/2014/main" id="{49D99662-AFDB-5211-BC65-1D0C2CABDF9E}"/>
                </a:ext>
              </a:extLst>
            </xdr:cNvPr>
            <xdr:cNvSpPr/>
          </xdr:nvSpPr>
          <xdr:spPr>
            <a:xfrm>
              <a:off x="11784763" y="12560234"/>
              <a:ext cx="2520000" cy="126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CO" sz="2400">
                  <a:latin typeface="Abadi" panose="020B0604020104020204" pitchFamily="34" charset="0"/>
                </a:rPr>
                <a:t>Recuperación de aceite y desarenado</a:t>
              </a:r>
              <a:endParaRPr lang="en-US" sz="2400">
                <a:latin typeface="Abadi" panose="020B0604020104020204" pitchFamily="34" charset="0"/>
              </a:endParaRPr>
            </a:p>
          </xdr:txBody>
        </xdr:sp>
        <xdr:sp macro="" textlink="">
          <xdr:nvSpPr>
            <xdr:cNvPr id="157" name="Rectángulo 156">
              <a:extLst>
                <a:ext uri="{FF2B5EF4-FFF2-40B4-BE49-F238E27FC236}">
                  <a16:creationId xmlns:a16="http://schemas.microsoft.com/office/drawing/2014/main" id="{5B58F651-49FD-7272-A9DB-C4EC323A1B7F}"/>
                </a:ext>
              </a:extLst>
            </xdr:cNvPr>
            <xdr:cNvSpPr/>
          </xdr:nvSpPr>
          <xdr:spPr>
            <a:xfrm flipH="1">
              <a:off x="7495815" y="16393723"/>
              <a:ext cx="2465837" cy="12344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2400">
                  <a:latin typeface="Abadi" panose="020B0604020104020204" pitchFamily="34" charset="0"/>
                </a:rPr>
                <a:t>Covered lagoon</a:t>
              </a:r>
            </a:p>
          </xdr:txBody>
        </xdr:sp>
        <xdr:sp macro="" textlink="">
          <xdr:nvSpPr>
            <xdr:cNvPr id="158" name="Elipse 157">
              <a:extLst>
                <a:ext uri="{FF2B5EF4-FFF2-40B4-BE49-F238E27FC236}">
                  <a16:creationId xmlns:a16="http://schemas.microsoft.com/office/drawing/2014/main" id="{6F391534-E25C-97C8-412D-55B7FE0094EE}"/>
                </a:ext>
              </a:extLst>
            </xdr:cNvPr>
            <xdr:cNvSpPr/>
          </xdr:nvSpPr>
          <xdr:spPr>
            <a:xfrm flipH="1">
              <a:off x="19418811" y="16517165"/>
              <a:ext cx="986335" cy="987537"/>
            </a:xfrm>
            <a:prstGeom prst="ellipse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CO" sz="2400">
                  <a:latin typeface="Abadi" panose="020B0604020104020204" pitchFamily="34" charset="0"/>
                </a:rPr>
                <a:t>G</a:t>
              </a:r>
            </a:p>
          </xdr:txBody>
        </xdr:sp>
        <xdr:sp macro="" textlink="">
          <xdr:nvSpPr>
            <xdr:cNvPr id="159" name="Rectángulo 158">
              <a:extLst>
                <a:ext uri="{FF2B5EF4-FFF2-40B4-BE49-F238E27FC236}">
                  <a16:creationId xmlns:a16="http://schemas.microsoft.com/office/drawing/2014/main" id="{DB7A1085-6349-B648-EEAE-2E57B5A70818}"/>
                </a:ext>
              </a:extLst>
            </xdr:cNvPr>
            <xdr:cNvSpPr/>
          </xdr:nvSpPr>
          <xdr:spPr>
            <a:xfrm flipH="1">
              <a:off x="15459434" y="16393723"/>
              <a:ext cx="2465837" cy="12344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2400">
                  <a:latin typeface="Abadi" panose="020B0604020104020204" pitchFamily="34" charset="0"/>
                </a:rPr>
                <a:t>Biogas engine</a:t>
              </a:r>
            </a:p>
          </xdr:txBody>
        </xdr:sp>
        <xdr:sp macro="" textlink="">
          <xdr:nvSpPr>
            <xdr:cNvPr id="160" name="Rectángulo 159">
              <a:extLst>
                <a:ext uri="{FF2B5EF4-FFF2-40B4-BE49-F238E27FC236}">
                  <a16:creationId xmlns:a16="http://schemas.microsoft.com/office/drawing/2014/main" id="{B161F949-813F-736C-542B-37AF9F7DC95A}"/>
                </a:ext>
              </a:extLst>
            </xdr:cNvPr>
            <xdr:cNvSpPr/>
          </xdr:nvSpPr>
          <xdr:spPr>
            <a:xfrm flipH="1">
              <a:off x="11453428" y="16415907"/>
              <a:ext cx="2465837" cy="12344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2400">
                  <a:latin typeface="Abadi" panose="020B0604020104020204" pitchFamily="34" charset="0"/>
                </a:rPr>
                <a:t>Biogas cleaning</a:t>
              </a:r>
            </a:p>
          </xdr:txBody>
        </xdr:sp>
        <xdr:cxnSp macro="">
          <xdr:nvCxnSpPr>
            <xdr:cNvPr id="161" name="Conector recto de flecha 160">
              <a:extLst>
                <a:ext uri="{FF2B5EF4-FFF2-40B4-BE49-F238E27FC236}">
                  <a16:creationId xmlns:a16="http://schemas.microsoft.com/office/drawing/2014/main" id="{68EDB95A-C4F3-BBD2-E783-5EE199E32D8A}"/>
                </a:ext>
              </a:extLst>
            </xdr:cNvPr>
            <xdr:cNvCxnSpPr>
              <a:stCxn id="159" idx="1"/>
              <a:endCxn id="158" idx="6"/>
            </xdr:cNvCxnSpPr>
          </xdr:nvCxnSpPr>
          <xdr:spPr>
            <a:xfrm>
              <a:off x="17925271" y="17010934"/>
              <a:ext cx="1493540" cy="0"/>
            </a:xfrm>
            <a:prstGeom prst="straightConnector1">
              <a:avLst/>
            </a:prstGeom>
            <a:ln w="190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2" name="Conector recto de flecha 161">
              <a:extLst>
                <a:ext uri="{FF2B5EF4-FFF2-40B4-BE49-F238E27FC236}">
                  <a16:creationId xmlns:a16="http://schemas.microsoft.com/office/drawing/2014/main" id="{42F2FAAB-C437-2970-8ED3-C065E60AB8B3}"/>
                </a:ext>
              </a:extLst>
            </xdr:cNvPr>
            <xdr:cNvCxnSpPr>
              <a:stCxn id="160" idx="1"/>
              <a:endCxn id="159" idx="3"/>
            </xdr:cNvCxnSpPr>
          </xdr:nvCxnSpPr>
          <xdr:spPr>
            <a:xfrm flipV="1">
              <a:off x="13919265" y="17010934"/>
              <a:ext cx="1540169" cy="22184"/>
            </a:xfrm>
            <a:prstGeom prst="straightConnector1">
              <a:avLst/>
            </a:prstGeom>
            <a:ln w="571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3" name="Conector: angular 162">
              <a:extLst>
                <a:ext uri="{FF2B5EF4-FFF2-40B4-BE49-F238E27FC236}">
                  <a16:creationId xmlns:a16="http://schemas.microsoft.com/office/drawing/2014/main" id="{1893E05F-0979-FC13-19A9-D9BEF8111E9C}"/>
                </a:ext>
              </a:extLst>
            </xdr:cNvPr>
            <xdr:cNvCxnSpPr>
              <a:stCxn id="159" idx="0"/>
            </xdr:cNvCxnSpPr>
          </xdr:nvCxnSpPr>
          <xdr:spPr>
            <a:xfrm rot="5400000" flipH="1" flipV="1">
              <a:off x="16855374" y="15174267"/>
              <a:ext cx="1056435" cy="1382478"/>
            </a:xfrm>
            <a:prstGeom prst="bentConnector2">
              <a:avLst/>
            </a:prstGeom>
            <a:ln w="571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64" name="CuadroTexto 109">
                  <a:extLst>
                    <a:ext uri="{FF2B5EF4-FFF2-40B4-BE49-F238E27FC236}">
                      <a16:creationId xmlns:a16="http://schemas.microsoft.com/office/drawing/2014/main" id="{4B252D84-5AE4-7544-9A2A-43BB7822A4E4}"/>
                    </a:ext>
                  </a:extLst>
                </xdr:cNvPr>
                <xdr:cNvSpPr txBox="1"/>
              </xdr:nvSpPr>
              <xdr:spPr>
                <a:xfrm flipH="1">
                  <a:off x="18146786" y="15062345"/>
                  <a:ext cx="2096334" cy="461665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CO" sz="2400" i="1">
                            <a:latin typeface="Cambria Math" panose="02040503050406030204" pitchFamily="18" charset="0"/>
                          </a:rPr>
                          <m:t>𝐸𝑥h𝑎𝑢𝑠𝑡</m:t>
                        </m:r>
                        <m:r>
                          <a:rPr lang="es-CO" sz="240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CO" sz="2400" i="1">
                            <a:latin typeface="Cambria Math" panose="02040503050406030204" pitchFamily="18" charset="0"/>
                          </a:rPr>
                          <m:t>𝑔𝑎𝑠</m:t>
                        </m:r>
                      </m:oMath>
                    </m:oMathPara>
                  </a14:m>
                  <a:endParaRPr lang="en-US" sz="2400">
                    <a:latin typeface="Abadi" panose="020B0604020104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164" name="CuadroTexto 109">
                  <a:extLst>
                    <a:ext uri="{FF2B5EF4-FFF2-40B4-BE49-F238E27FC236}">
                      <a16:creationId xmlns:a16="http://schemas.microsoft.com/office/drawing/2014/main" id="{4B252D84-5AE4-7544-9A2A-43BB7822A4E4}"/>
                    </a:ext>
                  </a:extLst>
                </xdr:cNvPr>
                <xdr:cNvSpPr txBox="1"/>
              </xdr:nvSpPr>
              <xdr:spPr>
                <a:xfrm flipH="1">
                  <a:off x="18146786" y="15062345"/>
                  <a:ext cx="2096334" cy="461665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2400" i="0">
                      <a:latin typeface="Cambria Math" panose="02040503050406030204" pitchFamily="18" charset="0"/>
                    </a:rPr>
                    <a:t>𝐸𝑥ℎ𝑎𝑢𝑠𝑡 𝑔𝑎𝑠</a:t>
                  </a:r>
                  <a:endParaRPr lang="en-US" sz="2400">
                    <a:latin typeface="Abadi" panose="020B0604020104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65" name="CuadroTexto 119">
                  <a:extLst>
                    <a:ext uri="{FF2B5EF4-FFF2-40B4-BE49-F238E27FC236}">
                      <a16:creationId xmlns:a16="http://schemas.microsoft.com/office/drawing/2014/main" id="{7A12B509-C967-AE7C-597C-DF2193EF6A1A}"/>
                    </a:ext>
                  </a:extLst>
                </xdr:cNvPr>
                <xdr:cNvSpPr txBox="1"/>
              </xdr:nvSpPr>
              <xdr:spPr>
                <a:xfrm flipH="1">
                  <a:off x="8816994" y="20641351"/>
                  <a:ext cx="1555087" cy="461665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CO" sz="2400" b="0" i="1">
                            <a:latin typeface="Cambria Math" panose="02040503050406030204" pitchFamily="18" charset="0"/>
                          </a:rPr>
                          <m:t>𝐿𝑜𝑑𝑜𝑠</m:t>
                        </m:r>
                      </m:oMath>
                    </m:oMathPara>
                  </a14:m>
                  <a:endParaRPr lang="en-US" sz="2400">
                    <a:latin typeface="Abadi" panose="020B0604020104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165" name="CuadroTexto 119">
                  <a:extLst>
                    <a:ext uri="{FF2B5EF4-FFF2-40B4-BE49-F238E27FC236}">
                      <a16:creationId xmlns:a16="http://schemas.microsoft.com/office/drawing/2014/main" id="{7A12B509-C967-AE7C-597C-DF2193EF6A1A}"/>
                    </a:ext>
                  </a:extLst>
                </xdr:cNvPr>
                <xdr:cNvSpPr txBox="1"/>
              </xdr:nvSpPr>
              <xdr:spPr>
                <a:xfrm flipH="1">
                  <a:off x="8816994" y="20641351"/>
                  <a:ext cx="1555087" cy="461665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2400" b="0" i="0">
                      <a:latin typeface="Cambria Math" panose="02040503050406030204" pitchFamily="18" charset="0"/>
                    </a:rPr>
                    <a:t>𝐿𝑜𝑑𝑜𝑠</a:t>
                  </a:r>
                  <a:endParaRPr lang="en-US" sz="2400">
                    <a:latin typeface="Abadi" panose="020B0604020104020204" pitchFamily="34" charset="0"/>
                  </a:endParaRPr>
                </a:p>
              </xdr:txBody>
            </xdr:sp>
          </mc:Fallback>
        </mc:AlternateContent>
        <xdr:cxnSp macro="">
          <xdr:nvCxnSpPr>
            <xdr:cNvPr id="166" name="Conector recto de flecha 165">
              <a:extLst>
                <a:ext uri="{FF2B5EF4-FFF2-40B4-BE49-F238E27FC236}">
                  <a16:creationId xmlns:a16="http://schemas.microsoft.com/office/drawing/2014/main" id="{704BC3C6-8299-C29F-BC6B-DF02935EB540}"/>
                </a:ext>
              </a:extLst>
            </xdr:cNvPr>
            <xdr:cNvCxnSpPr>
              <a:cxnSpLocks/>
              <a:stCxn id="158" idx="2"/>
            </xdr:cNvCxnSpPr>
          </xdr:nvCxnSpPr>
          <xdr:spPr>
            <a:xfrm flipV="1">
              <a:off x="20405146" y="16996651"/>
              <a:ext cx="2262610" cy="14283"/>
            </a:xfrm>
            <a:prstGeom prst="straightConnector1">
              <a:avLst/>
            </a:prstGeom>
            <a:ln w="57150" cap="flat" cmpd="sng" algn="ctr">
              <a:solidFill>
                <a:schemeClr val="accent4"/>
              </a:solidFill>
              <a:prstDash val="dash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grpSp>
          <xdr:nvGrpSpPr>
            <xdr:cNvPr id="167" name="Grupo 166">
              <a:extLst>
                <a:ext uri="{FF2B5EF4-FFF2-40B4-BE49-F238E27FC236}">
                  <a16:creationId xmlns:a16="http://schemas.microsoft.com/office/drawing/2014/main" id="{E054F58B-735F-C8C7-AB1C-0CD8F85233F0}"/>
                </a:ext>
              </a:extLst>
            </xdr:cNvPr>
            <xdr:cNvGrpSpPr/>
          </xdr:nvGrpSpPr>
          <xdr:grpSpPr>
            <a:xfrm>
              <a:off x="-281539" y="16832061"/>
              <a:ext cx="28575" cy="329179"/>
              <a:chOff x="14803076" y="6504520"/>
              <a:chExt cx="28575" cy="144000"/>
            </a:xfrm>
          </xdr:grpSpPr>
          <xdr:cxnSp macro="">
            <xdr:nvCxnSpPr>
              <xdr:cNvPr id="179" name="Conector recto 178">
                <a:extLst>
                  <a:ext uri="{FF2B5EF4-FFF2-40B4-BE49-F238E27FC236}">
                    <a16:creationId xmlns:a16="http://schemas.microsoft.com/office/drawing/2014/main" id="{0C24BBFF-461A-21A8-F917-432D6445543E}"/>
                  </a:ext>
                </a:extLst>
              </xdr:cNvPr>
              <xdr:cNvCxnSpPr/>
            </xdr:nvCxnSpPr>
            <xdr:spPr>
              <a:xfrm>
                <a:off x="14803076" y="6504520"/>
                <a:ext cx="0" cy="144000"/>
              </a:xfrm>
              <a:prstGeom prst="line">
                <a:avLst/>
              </a:prstGeom>
              <a:ln w="19050"/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80" name="Conector recto 179">
                <a:extLst>
                  <a:ext uri="{FF2B5EF4-FFF2-40B4-BE49-F238E27FC236}">
                    <a16:creationId xmlns:a16="http://schemas.microsoft.com/office/drawing/2014/main" id="{D3B8BB9E-E97C-15FF-EA52-408DCC8C1C4F}"/>
                  </a:ext>
                </a:extLst>
              </xdr:cNvPr>
              <xdr:cNvCxnSpPr/>
            </xdr:nvCxnSpPr>
            <xdr:spPr>
              <a:xfrm>
                <a:off x="14831651" y="6504520"/>
                <a:ext cx="0" cy="144000"/>
              </a:xfrm>
              <a:prstGeom prst="line">
                <a:avLst/>
              </a:prstGeom>
              <a:ln w="19050"/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68" name="Conector recto de flecha 167">
              <a:extLst>
                <a:ext uri="{FF2B5EF4-FFF2-40B4-BE49-F238E27FC236}">
                  <a16:creationId xmlns:a16="http://schemas.microsoft.com/office/drawing/2014/main" id="{93296619-698C-06E2-6CB3-2209D2DEA8A5}"/>
                </a:ext>
              </a:extLst>
            </xdr:cNvPr>
            <xdr:cNvCxnSpPr/>
          </xdr:nvCxnSpPr>
          <xdr:spPr>
            <a:xfrm flipV="1">
              <a:off x="21129243" y="15693576"/>
              <a:ext cx="0" cy="1331149"/>
            </a:xfrm>
            <a:prstGeom prst="straightConnector1">
              <a:avLst/>
            </a:prstGeom>
            <a:ln w="57150" cap="flat" cmpd="sng" algn="ctr">
              <a:solidFill>
                <a:schemeClr val="accent4"/>
              </a:solidFill>
              <a:prstDash val="dash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69" name="CuadroTexto 329">
                  <a:extLst>
                    <a:ext uri="{FF2B5EF4-FFF2-40B4-BE49-F238E27FC236}">
                      <a16:creationId xmlns:a16="http://schemas.microsoft.com/office/drawing/2014/main" id="{0E7BC2FF-5573-6910-B543-EF7047657ED8}"/>
                    </a:ext>
                  </a:extLst>
                </xdr:cNvPr>
                <xdr:cNvSpPr txBox="1"/>
              </xdr:nvSpPr>
              <xdr:spPr>
                <a:xfrm>
                  <a:off x="20336274" y="15130489"/>
                  <a:ext cx="1662976" cy="473206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2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̇"/>
                                <m:ctrlPr>
                                  <a:rPr lang="en-US" sz="24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24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</m:acc>
                          </m:e>
                          <m:sub>
                            <m:r>
                              <a:rPr lang="es-CO" sz="2400" i="1">
                                <a:latin typeface="Cambria Math" panose="02040503050406030204" pitchFamily="18" charset="0"/>
                              </a:rPr>
                              <m:t>𝑎𝑢𝑥</m:t>
                            </m:r>
                          </m:sub>
                        </m:sSub>
                      </m:oMath>
                    </m:oMathPara>
                  </a14:m>
                  <a:endParaRPr lang="en-US" sz="2400">
                    <a:latin typeface="Abadi" panose="020B0604020104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169" name="CuadroTexto 329">
                  <a:extLst>
                    <a:ext uri="{FF2B5EF4-FFF2-40B4-BE49-F238E27FC236}">
                      <a16:creationId xmlns:a16="http://schemas.microsoft.com/office/drawing/2014/main" id="{0E7BC2FF-5573-6910-B543-EF7047657ED8}"/>
                    </a:ext>
                  </a:extLst>
                </xdr:cNvPr>
                <xdr:cNvSpPr txBox="1"/>
              </xdr:nvSpPr>
              <xdr:spPr>
                <a:xfrm>
                  <a:off x="20336274" y="15130489"/>
                  <a:ext cx="1662976" cy="473206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2400" i="0">
                      <a:latin typeface="Cambria Math" panose="02040503050406030204" pitchFamily="18" charset="0"/>
                    </a:rPr>
                    <a:t>𝑊</a:t>
                  </a:r>
                  <a:r>
                    <a:rPr lang="en-US" sz="2400" i="0">
                      <a:latin typeface="Cambria Math" panose="02040503050406030204" pitchFamily="18" charset="0"/>
                    </a:rPr>
                    <a:t> ̇_</a:t>
                  </a:r>
                  <a:r>
                    <a:rPr lang="es-CO" sz="2400" i="0">
                      <a:latin typeface="Cambria Math" panose="02040503050406030204" pitchFamily="18" charset="0"/>
                    </a:rPr>
                    <a:t>𝑎𝑢𝑥</a:t>
                  </a:r>
                  <a:endParaRPr lang="en-US" sz="2400">
                    <a:latin typeface="Abadi" panose="020B0604020104020204" pitchFamily="34" charset="0"/>
                  </a:endParaRPr>
                </a:p>
              </xdr:txBody>
            </xdr:sp>
          </mc:Fallback>
        </mc:AlternateContent>
        <xdr:sp macro="" textlink="">
          <xdr:nvSpPr>
            <xdr:cNvPr id="170" name="Rectángulo 169">
              <a:extLst>
                <a:ext uri="{FF2B5EF4-FFF2-40B4-BE49-F238E27FC236}">
                  <a16:creationId xmlns:a16="http://schemas.microsoft.com/office/drawing/2014/main" id="{CF2CAEEF-8F7B-9662-C431-2B15A40E6A0C}"/>
                </a:ext>
              </a:extLst>
            </xdr:cNvPr>
            <xdr:cNvSpPr/>
          </xdr:nvSpPr>
          <xdr:spPr>
            <a:xfrm flipH="1">
              <a:off x="7500391" y="19007471"/>
              <a:ext cx="2465837" cy="12344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2400">
                  <a:latin typeface="Abadi" panose="020B0604020104020204" pitchFamily="34" charset="0"/>
                </a:rPr>
                <a:t>Facultative Lagoon</a:t>
              </a:r>
            </a:p>
          </xdr:txBody>
        </xdr:sp>
        <xdr:cxnSp macro="">
          <xdr:nvCxnSpPr>
            <xdr:cNvPr id="171" name="Conector recto de flecha 170">
              <a:extLst>
                <a:ext uri="{FF2B5EF4-FFF2-40B4-BE49-F238E27FC236}">
                  <a16:creationId xmlns:a16="http://schemas.microsoft.com/office/drawing/2014/main" id="{F99F8B32-EE29-9916-DEF1-9159657F0403}"/>
                </a:ext>
              </a:extLst>
            </xdr:cNvPr>
            <xdr:cNvCxnSpPr>
              <a:cxnSpLocks/>
            </xdr:cNvCxnSpPr>
          </xdr:nvCxnSpPr>
          <xdr:spPr>
            <a:xfrm>
              <a:off x="8736583" y="20241892"/>
              <a:ext cx="0" cy="1095261"/>
            </a:xfrm>
            <a:prstGeom prst="straightConnector1">
              <a:avLst/>
            </a:prstGeom>
            <a:ln w="571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72" name="CuadroTexto 119">
                  <a:extLst>
                    <a:ext uri="{FF2B5EF4-FFF2-40B4-BE49-F238E27FC236}">
                      <a16:creationId xmlns:a16="http://schemas.microsoft.com/office/drawing/2014/main" id="{BA05F572-3808-80BD-0623-246F1B9FF95D}"/>
                    </a:ext>
                  </a:extLst>
                </xdr:cNvPr>
                <xdr:cNvSpPr txBox="1"/>
              </xdr:nvSpPr>
              <xdr:spPr>
                <a:xfrm flipH="1">
                  <a:off x="3952897" y="19424626"/>
                  <a:ext cx="2096334" cy="461665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CO" sz="2400" b="0" i="1">
                            <a:latin typeface="Cambria Math" panose="02040503050406030204" pitchFamily="18" charset="0"/>
                          </a:rPr>
                          <m:t>𝑉𝑒𝑟𝑡𝑖𝑚𝑖𝑒𝑛𝑡𝑜</m:t>
                        </m:r>
                      </m:oMath>
                    </m:oMathPara>
                  </a14:m>
                  <a:endParaRPr lang="en-US" sz="2400">
                    <a:latin typeface="Abadi" panose="020B0604020104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172" name="CuadroTexto 119">
                  <a:extLst>
                    <a:ext uri="{FF2B5EF4-FFF2-40B4-BE49-F238E27FC236}">
                      <a16:creationId xmlns:a16="http://schemas.microsoft.com/office/drawing/2014/main" id="{BA05F572-3808-80BD-0623-246F1B9FF95D}"/>
                    </a:ext>
                  </a:extLst>
                </xdr:cNvPr>
                <xdr:cNvSpPr txBox="1"/>
              </xdr:nvSpPr>
              <xdr:spPr>
                <a:xfrm flipH="1">
                  <a:off x="3952897" y="19424626"/>
                  <a:ext cx="2096334" cy="461665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2400" b="0" i="0">
                      <a:latin typeface="Cambria Math" panose="02040503050406030204" pitchFamily="18" charset="0"/>
                    </a:rPr>
                    <a:t>𝑉𝑒𝑟𝑡𝑖𝑚𝑖𝑒𝑛𝑡𝑜</a:t>
                  </a:r>
                  <a:endParaRPr lang="en-US" sz="2400">
                    <a:latin typeface="Abadi" panose="020B0604020104020204" pitchFamily="34" charset="0"/>
                  </a:endParaRPr>
                </a:p>
              </xdr:txBody>
            </xdr:sp>
          </mc:Fallback>
        </mc:AlternateContent>
        <xdr:sp macro="" textlink="">
          <xdr:nvSpPr>
            <xdr:cNvPr id="173" name="Rectángulo 172">
              <a:extLst>
                <a:ext uri="{FF2B5EF4-FFF2-40B4-BE49-F238E27FC236}">
                  <a16:creationId xmlns:a16="http://schemas.microsoft.com/office/drawing/2014/main" id="{1FFACD2C-E73D-1867-2144-E7D969F53057}"/>
                </a:ext>
              </a:extLst>
            </xdr:cNvPr>
            <xdr:cNvSpPr/>
          </xdr:nvSpPr>
          <xdr:spPr>
            <a:xfrm flipH="1">
              <a:off x="7466867" y="12558711"/>
              <a:ext cx="2520000" cy="126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CO" sz="2400">
                  <a:latin typeface="Abadi" panose="020B0604020104020204" pitchFamily="34" charset="0"/>
                </a:rPr>
                <a:t>Laguna </a:t>
              </a:r>
            </a:p>
            <a:p>
              <a:pPr algn="ctr"/>
              <a:r>
                <a:rPr lang="es-CO" sz="2400">
                  <a:latin typeface="Abadi" panose="020B0604020104020204" pitchFamily="34" charset="0"/>
                </a:rPr>
                <a:t>estabilización</a:t>
              </a:r>
            </a:p>
          </xdr:txBody>
        </xdr:sp>
        <xdr:cxnSp macro="">
          <xdr:nvCxnSpPr>
            <xdr:cNvPr id="174" name="Conector recto de flecha 173">
              <a:extLst>
                <a:ext uri="{FF2B5EF4-FFF2-40B4-BE49-F238E27FC236}">
                  <a16:creationId xmlns:a16="http://schemas.microsoft.com/office/drawing/2014/main" id="{4910E8C8-4310-105B-8D25-84D81750A2E3}"/>
                </a:ext>
              </a:extLst>
            </xdr:cNvPr>
            <xdr:cNvCxnSpPr>
              <a:cxnSpLocks/>
              <a:stCxn id="156" idx="1"/>
              <a:endCxn id="173" idx="1"/>
            </xdr:cNvCxnSpPr>
          </xdr:nvCxnSpPr>
          <xdr:spPr>
            <a:xfrm flipH="1" flipV="1">
              <a:off x="9986867" y="13188711"/>
              <a:ext cx="1797896" cy="1523"/>
            </a:xfrm>
            <a:prstGeom prst="straightConnector1">
              <a:avLst/>
            </a:prstGeom>
            <a:ln w="57150">
              <a:prstDash val="dash"/>
              <a:headEnd type="none" w="med" len="med"/>
              <a:tailEnd type="triangle" w="med" len="med"/>
            </a:ln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75" name="Conector: angular 174">
              <a:extLst>
                <a:ext uri="{FF2B5EF4-FFF2-40B4-BE49-F238E27FC236}">
                  <a16:creationId xmlns:a16="http://schemas.microsoft.com/office/drawing/2014/main" id="{BDE0CAF6-AEBC-181D-AED7-542E2417FE6D}"/>
                </a:ext>
              </a:extLst>
            </xdr:cNvPr>
            <xdr:cNvCxnSpPr>
              <a:cxnSpLocks/>
              <a:stCxn id="157" idx="0"/>
              <a:endCxn id="160" idx="0"/>
            </xdr:cNvCxnSpPr>
          </xdr:nvCxnSpPr>
          <xdr:spPr>
            <a:xfrm rot="16200000" flipH="1">
              <a:off x="10696447" y="14426009"/>
              <a:ext cx="22184" cy="3957613"/>
            </a:xfrm>
            <a:prstGeom prst="bentConnector3">
              <a:avLst>
                <a:gd name="adj1" fmla="val -1030472"/>
              </a:avLst>
            </a:prstGeom>
            <a:ln w="571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Conector: angular 175">
              <a:extLst>
                <a:ext uri="{FF2B5EF4-FFF2-40B4-BE49-F238E27FC236}">
                  <a16:creationId xmlns:a16="http://schemas.microsoft.com/office/drawing/2014/main" id="{F6FFA7C1-8998-99FB-B587-8E85D71AB307}"/>
                </a:ext>
              </a:extLst>
            </xdr:cNvPr>
            <xdr:cNvCxnSpPr>
              <a:cxnSpLocks/>
              <a:stCxn id="173" idx="3"/>
              <a:endCxn id="157" idx="3"/>
            </xdr:cNvCxnSpPr>
          </xdr:nvCxnSpPr>
          <xdr:spPr>
            <a:xfrm rot="10800000" flipH="1" flipV="1">
              <a:off x="7466867" y="13188710"/>
              <a:ext cx="28948" cy="3822223"/>
            </a:xfrm>
            <a:prstGeom prst="bentConnector3">
              <a:avLst>
                <a:gd name="adj1" fmla="val -789692"/>
              </a:avLst>
            </a:prstGeom>
            <a:ln w="571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Conector recto de flecha 176">
              <a:extLst>
                <a:ext uri="{FF2B5EF4-FFF2-40B4-BE49-F238E27FC236}">
                  <a16:creationId xmlns:a16="http://schemas.microsoft.com/office/drawing/2014/main" id="{79528F65-8D58-38E6-0E0E-CD3DCF4AAAF1}"/>
                </a:ext>
              </a:extLst>
            </xdr:cNvPr>
            <xdr:cNvCxnSpPr>
              <a:cxnSpLocks/>
              <a:stCxn id="157" idx="2"/>
              <a:endCxn id="170" idx="0"/>
            </xdr:cNvCxnSpPr>
          </xdr:nvCxnSpPr>
          <xdr:spPr>
            <a:xfrm>
              <a:off x="8728733" y="17628144"/>
              <a:ext cx="4576" cy="1379327"/>
            </a:xfrm>
            <a:prstGeom prst="straightConnector1">
              <a:avLst/>
            </a:prstGeom>
            <a:ln w="571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8" name="Conector recto de flecha 177">
              <a:extLst>
                <a:ext uri="{FF2B5EF4-FFF2-40B4-BE49-F238E27FC236}">
                  <a16:creationId xmlns:a16="http://schemas.microsoft.com/office/drawing/2014/main" id="{5C469148-3504-F717-11B5-783A5A62342D}"/>
                </a:ext>
              </a:extLst>
            </xdr:cNvPr>
            <xdr:cNvCxnSpPr>
              <a:cxnSpLocks/>
              <a:stCxn id="170" idx="3"/>
            </xdr:cNvCxnSpPr>
          </xdr:nvCxnSpPr>
          <xdr:spPr>
            <a:xfrm flipH="1">
              <a:off x="6049231" y="19624682"/>
              <a:ext cx="1451160" cy="0"/>
            </a:xfrm>
            <a:prstGeom prst="straightConnector1">
              <a:avLst/>
            </a:prstGeom>
            <a:ln w="571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2" name="Conector recto de flecha 51">
            <a:extLst>
              <a:ext uri="{FF2B5EF4-FFF2-40B4-BE49-F238E27FC236}">
                <a16:creationId xmlns:a16="http://schemas.microsoft.com/office/drawing/2014/main" id="{7011E0CA-20A2-1858-4D8B-B62BFFDC066E}"/>
              </a:ext>
            </a:extLst>
          </xdr:cNvPr>
          <xdr:cNvCxnSpPr>
            <a:cxnSpLocks/>
            <a:stCxn id="130" idx="2"/>
            <a:endCxn id="147" idx="0"/>
          </xdr:cNvCxnSpPr>
        </xdr:nvCxnSpPr>
        <xdr:spPr>
          <a:xfrm>
            <a:off x="37036590" y="18300542"/>
            <a:ext cx="35732" cy="3067269"/>
          </a:xfrm>
          <a:prstGeom prst="straightConnector1">
            <a:avLst/>
          </a:prstGeom>
          <a:ln w="57150">
            <a:solidFill>
              <a:srgbClr val="00B050"/>
            </a:solidFill>
            <a:prstDash val="sys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Elipse 52">
            <a:extLst>
              <a:ext uri="{FF2B5EF4-FFF2-40B4-BE49-F238E27FC236}">
                <a16:creationId xmlns:a16="http://schemas.microsoft.com/office/drawing/2014/main" id="{CAEC21A3-2992-50DA-5DDB-762528F187DC}"/>
              </a:ext>
            </a:extLst>
          </xdr:cNvPr>
          <xdr:cNvSpPr/>
        </xdr:nvSpPr>
        <xdr:spPr>
          <a:xfrm>
            <a:off x="12744222" y="6684264"/>
            <a:ext cx="288000" cy="288000"/>
          </a:xfrm>
          <a:prstGeom prst="ellipse">
            <a:avLst/>
          </a:prstGeom>
          <a:noFill/>
          <a:ln w="285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2400"/>
          </a:p>
        </xdr:txBody>
      </xdr:sp>
      <xdr:cxnSp macro="">
        <xdr:nvCxnSpPr>
          <xdr:cNvPr id="54" name="Conector: angular 53">
            <a:extLst>
              <a:ext uri="{FF2B5EF4-FFF2-40B4-BE49-F238E27FC236}">
                <a16:creationId xmlns:a16="http://schemas.microsoft.com/office/drawing/2014/main" id="{028373E7-EF17-4E29-3197-9FB525555D1D}"/>
              </a:ext>
            </a:extLst>
          </xdr:cNvPr>
          <xdr:cNvCxnSpPr>
            <a:cxnSpLocks/>
            <a:endCxn id="53" idx="0"/>
          </xdr:cNvCxnSpPr>
        </xdr:nvCxnSpPr>
        <xdr:spPr>
          <a:xfrm rot="5400000">
            <a:off x="12827751" y="4775532"/>
            <a:ext cx="1969204" cy="1848261"/>
          </a:xfrm>
          <a:prstGeom prst="bentConnector3">
            <a:avLst>
              <a:gd name="adj1" fmla="val 50000"/>
            </a:avLst>
          </a:prstGeom>
          <a:ln w="57150">
            <a:prstDash val="dash"/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5" name="Conector: angular 54">
            <a:extLst>
              <a:ext uri="{FF2B5EF4-FFF2-40B4-BE49-F238E27FC236}">
                <a16:creationId xmlns:a16="http://schemas.microsoft.com/office/drawing/2014/main" id="{BA66ED01-2EF0-8320-435A-B63C70DE3630}"/>
              </a:ext>
            </a:extLst>
          </xdr:cNvPr>
          <xdr:cNvCxnSpPr>
            <a:cxnSpLocks/>
            <a:stCxn id="12" idx="2"/>
            <a:endCxn id="53" idx="7"/>
          </xdr:cNvCxnSpPr>
        </xdr:nvCxnSpPr>
        <xdr:spPr>
          <a:xfrm rot="5400000">
            <a:off x="19836153" y="-2125651"/>
            <a:ext cx="2005985" cy="15698199"/>
          </a:xfrm>
          <a:prstGeom prst="bentConnector3">
            <a:avLst>
              <a:gd name="adj1" fmla="val 94109"/>
            </a:avLst>
          </a:prstGeom>
          <a:ln w="57150">
            <a:prstDash val="dash"/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6" name="Conector: angular 55">
            <a:extLst>
              <a:ext uri="{FF2B5EF4-FFF2-40B4-BE49-F238E27FC236}">
                <a16:creationId xmlns:a16="http://schemas.microsoft.com/office/drawing/2014/main" id="{D619FFBA-03EF-953F-ACF4-2699A2E36988}"/>
              </a:ext>
            </a:extLst>
          </xdr:cNvPr>
          <xdr:cNvCxnSpPr>
            <a:cxnSpLocks/>
            <a:stCxn id="11" idx="2"/>
            <a:endCxn id="53" idx="6"/>
          </xdr:cNvCxnSpPr>
        </xdr:nvCxnSpPr>
        <xdr:spPr>
          <a:xfrm rot="5400000">
            <a:off x="22039550" y="-4300951"/>
            <a:ext cx="2121888" cy="20136543"/>
          </a:xfrm>
          <a:prstGeom prst="bentConnector2">
            <a:avLst/>
          </a:prstGeom>
          <a:ln w="57150">
            <a:prstDash val="dash"/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grpSp>
        <xdr:nvGrpSpPr>
          <xdr:cNvPr id="57" name="Grupo 56">
            <a:extLst>
              <a:ext uri="{FF2B5EF4-FFF2-40B4-BE49-F238E27FC236}">
                <a16:creationId xmlns:a16="http://schemas.microsoft.com/office/drawing/2014/main" id="{79CE1D0A-290F-CFF7-CB88-C7DA6077DBAF}"/>
              </a:ext>
            </a:extLst>
          </xdr:cNvPr>
          <xdr:cNvGrpSpPr/>
        </xdr:nvGrpSpPr>
        <xdr:grpSpPr>
          <a:xfrm>
            <a:off x="23298745" y="17000489"/>
            <a:ext cx="17923434" cy="6241333"/>
            <a:chOff x="19786707" y="16740993"/>
            <a:chExt cx="17923434" cy="6241333"/>
          </a:xfrm>
        </xdr:grpSpPr>
        <xdr:sp macro="" textlink="">
          <xdr:nvSpPr>
            <xdr:cNvPr id="142" name="Rectángulo 141">
              <a:extLst>
                <a:ext uri="{FF2B5EF4-FFF2-40B4-BE49-F238E27FC236}">
                  <a16:creationId xmlns:a16="http://schemas.microsoft.com/office/drawing/2014/main" id="{F5039C9D-7358-DD85-9AC7-362C225F9B17}"/>
                </a:ext>
              </a:extLst>
            </xdr:cNvPr>
            <xdr:cNvSpPr/>
          </xdr:nvSpPr>
          <xdr:spPr>
            <a:xfrm>
              <a:off x="23267246" y="21114965"/>
              <a:ext cx="2520000" cy="126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CO" sz="2400">
                  <a:latin typeface="Abadi" panose="020B0604020104020204" pitchFamily="34" charset="0"/>
                </a:rPr>
                <a:t>Tratamiento</a:t>
              </a:r>
              <a:r>
                <a:rPr lang="en-US" sz="2400">
                  <a:latin typeface="Abadi" panose="020B0604020104020204" pitchFamily="34" charset="0"/>
                </a:rPr>
                <a:t> Agua</a:t>
              </a:r>
            </a:p>
          </xdr:txBody>
        </xdr:sp>
        <xdr:grpSp>
          <xdr:nvGrpSpPr>
            <xdr:cNvPr id="143" name="Grupo 142">
              <a:extLst>
                <a:ext uri="{FF2B5EF4-FFF2-40B4-BE49-F238E27FC236}">
                  <a16:creationId xmlns:a16="http://schemas.microsoft.com/office/drawing/2014/main" id="{81CC9F67-419F-B406-4E2D-E60A290C325A}"/>
                </a:ext>
              </a:extLst>
            </xdr:cNvPr>
            <xdr:cNvGrpSpPr/>
          </xdr:nvGrpSpPr>
          <xdr:grpSpPr>
            <a:xfrm rot="16200000">
              <a:off x="21501216" y="21403398"/>
              <a:ext cx="658358" cy="657556"/>
              <a:chOff x="5530726" y="4171629"/>
              <a:chExt cx="288000" cy="288000"/>
            </a:xfrm>
          </xdr:grpSpPr>
          <xdr:sp macro="" textlink="">
            <xdr:nvSpPr>
              <xdr:cNvPr id="154" name="Elipse 153">
                <a:extLst>
                  <a:ext uri="{FF2B5EF4-FFF2-40B4-BE49-F238E27FC236}">
                    <a16:creationId xmlns:a16="http://schemas.microsoft.com/office/drawing/2014/main" id="{8F57192F-BC4C-9C50-59DD-365B3DCDFC4D}"/>
                  </a:ext>
                </a:extLst>
              </xdr:cNvPr>
              <xdr:cNvSpPr/>
            </xdr:nvSpPr>
            <xdr:spPr>
              <a:xfrm rot="10800000" flipH="1">
                <a:off x="5530726" y="4171629"/>
                <a:ext cx="288000" cy="288000"/>
              </a:xfrm>
              <a:prstGeom prst="ellipse">
                <a:avLst/>
              </a:prstGeom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CO" sz="2400">
                  <a:latin typeface="Abadi" panose="020B0604020104020204" pitchFamily="34" charset="0"/>
                </a:endParaRPr>
              </a:p>
            </xdr:txBody>
          </xdr:sp>
          <xdr:sp macro="" textlink="">
            <xdr:nvSpPr>
              <xdr:cNvPr id="155" name="Triángulo isósceles 154">
                <a:extLst>
                  <a:ext uri="{FF2B5EF4-FFF2-40B4-BE49-F238E27FC236}">
                    <a16:creationId xmlns:a16="http://schemas.microsoft.com/office/drawing/2014/main" id="{8F11F258-C764-01C8-916B-F94935FEDB4E}"/>
                  </a:ext>
                </a:extLst>
              </xdr:cNvPr>
              <xdr:cNvSpPr/>
            </xdr:nvSpPr>
            <xdr:spPr>
              <a:xfrm rot="10800000" flipH="1">
                <a:off x="5580732" y="4222945"/>
                <a:ext cx="190499" cy="218357"/>
              </a:xfrm>
              <a:prstGeom prst="triangle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CO" sz="2400">
                  <a:latin typeface="Abadi" panose="020B0604020104020204" pitchFamily="34" charset="0"/>
                </a:endParaRPr>
              </a:p>
            </xdr:txBody>
          </xdr:sp>
        </xdr:grpSp>
        <xdr:cxnSp macro="">
          <xdr:nvCxnSpPr>
            <xdr:cNvPr id="144" name="Conector recto de flecha 143">
              <a:extLst>
                <a:ext uri="{FF2B5EF4-FFF2-40B4-BE49-F238E27FC236}">
                  <a16:creationId xmlns:a16="http://schemas.microsoft.com/office/drawing/2014/main" id="{56C4B35F-9070-7D5F-86FA-345291296054}"/>
                </a:ext>
              </a:extLst>
            </xdr:cNvPr>
            <xdr:cNvCxnSpPr>
              <a:cxnSpLocks/>
              <a:stCxn id="154" idx="0"/>
              <a:endCxn id="142" idx="1"/>
            </xdr:cNvCxnSpPr>
          </xdr:nvCxnSpPr>
          <xdr:spPr>
            <a:xfrm>
              <a:off x="22159173" y="21732176"/>
              <a:ext cx="1108073" cy="12789"/>
            </a:xfrm>
            <a:prstGeom prst="straightConnector1">
              <a:avLst/>
            </a:prstGeom>
            <a:ln w="57150">
              <a:solidFill>
                <a:srgbClr val="00B0F0"/>
              </a:solidFill>
              <a:prstDash val="sysDash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45" name="Grupo 144">
              <a:extLst>
                <a:ext uri="{FF2B5EF4-FFF2-40B4-BE49-F238E27FC236}">
                  <a16:creationId xmlns:a16="http://schemas.microsoft.com/office/drawing/2014/main" id="{FC84A918-AE3A-4B97-4AAF-ED3B90614FC8}"/>
                </a:ext>
              </a:extLst>
            </xdr:cNvPr>
            <xdr:cNvGrpSpPr/>
          </xdr:nvGrpSpPr>
          <xdr:grpSpPr>
            <a:xfrm>
              <a:off x="19786707" y="16740993"/>
              <a:ext cx="821946" cy="104775"/>
              <a:chOff x="4779621" y="4874195"/>
              <a:chExt cx="360000" cy="104775"/>
            </a:xfrm>
          </xdr:grpSpPr>
          <xdr:cxnSp macro="">
            <xdr:nvCxnSpPr>
              <xdr:cNvPr id="151" name="Conector recto 150">
                <a:extLst>
                  <a:ext uri="{FF2B5EF4-FFF2-40B4-BE49-F238E27FC236}">
                    <a16:creationId xmlns:a16="http://schemas.microsoft.com/office/drawing/2014/main" id="{A238558A-14C5-EF6A-B313-DEB0822BC249}"/>
                  </a:ext>
                </a:extLst>
              </xdr:cNvPr>
              <xdr:cNvCxnSpPr/>
            </xdr:nvCxnSpPr>
            <xdr:spPr>
              <a:xfrm>
                <a:off x="4779621" y="4874195"/>
                <a:ext cx="360000" cy="0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2" name="Conector recto 151">
                <a:extLst>
                  <a:ext uri="{FF2B5EF4-FFF2-40B4-BE49-F238E27FC236}">
                    <a16:creationId xmlns:a16="http://schemas.microsoft.com/office/drawing/2014/main" id="{CC10FC03-FEF8-C6A3-0655-C1DE027B753C}"/>
                  </a:ext>
                </a:extLst>
              </xdr:cNvPr>
              <xdr:cNvCxnSpPr/>
            </xdr:nvCxnSpPr>
            <xdr:spPr>
              <a:xfrm>
                <a:off x="4815621" y="4926582"/>
                <a:ext cx="288000" cy="0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3" name="Conector recto 152">
                <a:extLst>
                  <a:ext uri="{FF2B5EF4-FFF2-40B4-BE49-F238E27FC236}">
                    <a16:creationId xmlns:a16="http://schemas.microsoft.com/office/drawing/2014/main" id="{22F0893C-0FEB-F6B4-98D0-454F82F812ED}"/>
                  </a:ext>
                </a:extLst>
              </xdr:cNvPr>
              <xdr:cNvCxnSpPr/>
            </xdr:nvCxnSpPr>
            <xdr:spPr>
              <a:xfrm>
                <a:off x="4869621" y="4978970"/>
                <a:ext cx="180000" cy="0"/>
              </a:xfrm>
              <a:prstGeom prst="line">
                <a:avLst/>
              </a:prstGeom>
              <a:ln w="190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46" name="Conector: angular 145">
              <a:extLst>
                <a:ext uri="{FF2B5EF4-FFF2-40B4-BE49-F238E27FC236}">
                  <a16:creationId xmlns:a16="http://schemas.microsoft.com/office/drawing/2014/main" id="{0E553E4D-807C-5DA4-9BDC-AA7891EC23AC}"/>
                </a:ext>
              </a:extLst>
            </xdr:cNvPr>
            <xdr:cNvCxnSpPr>
              <a:cxnSpLocks/>
              <a:endCxn id="154" idx="4"/>
            </xdr:cNvCxnSpPr>
          </xdr:nvCxnSpPr>
          <xdr:spPr>
            <a:xfrm flipV="1">
              <a:off x="20200157" y="21732176"/>
              <a:ext cx="1301460" cy="1250150"/>
            </a:xfrm>
            <a:prstGeom prst="bentConnector3">
              <a:avLst>
                <a:gd name="adj1" fmla="val 50000"/>
              </a:avLst>
            </a:prstGeom>
            <a:ln w="571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7" name="Rectángulo 146">
              <a:extLst>
                <a:ext uri="{FF2B5EF4-FFF2-40B4-BE49-F238E27FC236}">
                  <a16:creationId xmlns:a16="http://schemas.microsoft.com/office/drawing/2014/main" id="{D4504297-86CD-2625-454C-97B787A30223}"/>
                </a:ext>
              </a:extLst>
            </xdr:cNvPr>
            <xdr:cNvSpPr/>
          </xdr:nvSpPr>
          <xdr:spPr>
            <a:xfrm>
              <a:off x="32300284" y="21108315"/>
              <a:ext cx="2520000" cy="126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CO" sz="2400">
                  <a:latin typeface="Abadi" panose="020B0604020104020204" pitchFamily="34" charset="0"/>
                </a:rPr>
                <a:t>Calentamiento agua proceso</a:t>
              </a:r>
              <a:endParaRPr lang="en-US" sz="2400">
                <a:latin typeface="Abadi" panose="020B0604020104020204" pitchFamily="34" charset="0"/>
              </a:endParaRPr>
            </a:p>
          </xdr:txBody>
        </xdr:sp>
        <xdr:cxnSp macro="">
          <xdr:nvCxnSpPr>
            <xdr:cNvPr id="148" name="Conector recto de flecha 147">
              <a:extLst>
                <a:ext uri="{FF2B5EF4-FFF2-40B4-BE49-F238E27FC236}">
                  <a16:creationId xmlns:a16="http://schemas.microsoft.com/office/drawing/2014/main" id="{2CC86441-C8B6-4B85-4DA2-2C69EBDE9A69}"/>
                </a:ext>
              </a:extLst>
            </xdr:cNvPr>
            <xdr:cNvCxnSpPr>
              <a:cxnSpLocks/>
              <a:stCxn id="142" idx="3"/>
              <a:endCxn id="147" idx="1"/>
            </xdr:cNvCxnSpPr>
          </xdr:nvCxnSpPr>
          <xdr:spPr>
            <a:xfrm flipV="1">
              <a:off x="25787246" y="21738315"/>
              <a:ext cx="6513038" cy="6650"/>
            </a:xfrm>
            <a:prstGeom prst="straightConnector1">
              <a:avLst/>
            </a:prstGeom>
            <a:ln w="57150">
              <a:solidFill>
                <a:srgbClr val="00B0F0"/>
              </a:solidFill>
              <a:prstDash val="sysDash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Conector recto de flecha 148">
              <a:extLst>
                <a:ext uri="{FF2B5EF4-FFF2-40B4-BE49-F238E27FC236}">
                  <a16:creationId xmlns:a16="http://schemas.microsoft.com/office/drawing/2014/main" id="{148F4FD7-DFEA-FA52-E0A6-88927EDEA9AF}"/>
                </a:ext>
              </a:extLst>
            </xdr:cNvPr>
            <xdr:cNvCxnSpPr>
              <a:cxnSpLocks/>
            </xdr:cNvCxnSpPr>
          </xdr:nvCxnSpPr>
          <xdr:spPr>
            <a:xfrm>
              <a:off x="34849168" y="21752829"/>
              <a:ext cx="1388077" cy="0"/>
            </a:xfrm>
            <a:prstGeom prst="straightConnector1">
              <a:avLst/>
            </a:prstGeom>
            <a:ln w="57150">
              <a:solidFill>
                <a:srgbClr val="00B0F0"/>
              </a:solidFill>
              <a:prstDash val="sysDash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CuadroTexto 50">
              <a:extLst>
                <a:ext uri="{FF2B5EF4-FFF2-40B4-BE49-F238E27FC236}">
                  <a16:creationId xmlns:a16="http://schemas.microsoft.com/office/drawing/2014/main" id="{682E4F30-FBFB-63C4-595A-E87457432427}"/>
                </a:ext>
              </a:extLst>
            </xdr:cNvPr>
            <xdr:cNvSpPr txBox="1"/>
          </xdr:nvSpPr>
          <xdr:spPr>
            <a:xfrm flipH="1">
              <a:off x="36427324" y="21447880"/>
              <a:ext cx="1282817" cy="562852"/>
            </a:xfrm>
            <a:prstGeom prst="rect">
              <a:avLst/>
            </a:prstGeom>
            <a:noFill/>
          </xdr:spPr>
          <xdr:txBody>
            <a:bodyPr wrap="square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2400">
                  <a:latin typeface="Abadi" panose="020B0604020104020204" pitchFamily="34" charset="0"/>
                </a:rPr>
                <a:t>A </a:t>
              </a:r>
              <a:r>
                <a:rPr lang="es-CO" sz="2400">
                  <a:latin typeface="Abadi" panose="020B0604020104020204" pitchFamily="34" charset="0"/>
                </a:rPr>
                <a:t>Proceso</a:t>
              </a:r>
              <a:endParaRPr lang="es-CO" sz="2400" baseline="-25000">
                <a:latin typeface="Abadi" panose="020B0604020104020204" pitchFamily="34" charset="0"/>
              </a:endParaRPr>
            </a:p>
          </xdr:txBody>
        </xdr:sp>
      </xdr:grp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2BDDA595-1F07-81EB-A08E-842A58EC1391}"/>
              </a:ext>
            </a:extLst>
          </xdr:cNvPr>
          <xdr:cNvCxnSpPr>
            <a:cxnSpLocks/>
          </xdr:cNvCxnSpPr>
        </xdr:nvCxnSpPr>
        <xdr:spPr>
          <a:xfrm flipV="1">
            <a:off x="14603737" y="2558824"/>
            <a:ext cx="0" cy="905191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9" name="Conector recto de flecha 58">
            <a:extLst>
              <a:ext uri="{FF2B5EF4-FFF2-40B4-BE49-F238E27FC236}">
                <a16:creationId xmlns:a16="http://schemas.microsoft.com/office/drawing/2014/main" id="{08C64FE8-9E81-04E0-EEAE-86A8AE047DE0}"/>
              </a:ext>
            </a:extLst>
          </xdr:cNvPr>
          <xdr:cNvCxnSpPr>
            <a:endCxn id="7" idx="0"/>
          </xdr:cNvCxnSpPr>
        </xdr:nvCxnSpPr>
        <xdr:spPr>
          <a:xfrm>
            <a:off x="15444506" y="1215392"/>
            <a:ext cx="0" cy="2241393"/>
          </a:xfrm>
          <a:prstGeom prst="straightConnector1">
            <a:avLst/>
          </a:prstGeom>
          <a:ln w="38100">
            <a:solidFill>
              <a:srgbClr val="00B050"/>
            </a:solidFill>
            <a:prstDash val="sys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Conector recto de flecha 59">
            <a:extLst>
              <a:ext uri="{FF2B5EF4-FFF2-40B4-BE49-F238E27FC236}">
                <a16:creationId xmlns:a16="http://schemas.microsoft.com/office/drawing/2014/main" id="{EBB6A0E0-64B9-50B7-1EE0-F9167BD13006}"/>
              </a:ext>
            </a:extLst>
          </xdr:cNvPr>
          <xdr:cNvCxnSpPr>
            <a:cxnSpLocks/>
            <a:endCxn id="9" idx="0"/>
          </xdr:cNvCxnSpPr>
        </xdr:nvCxnSpPr>
        <xdr:spPr>
          <a:xfrm>
            <a:off x="24260453" y="1215392"/>
            <a:ext cx="3075" cy="2241393"/>
          </a:xfrm>
          <a:prstGeom prst="straightConnector1">
            <a:avLst/>
          </a:prstGeom>
          <a:ln w="38100">
            <a:solidFill>
              <a:srgbClr val="00B050"/>
            </a:solidFill>
            <a:prstDash val="sys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ctor recto de flecha 60">
            <a:extLst>
              <a:ext uri="{FF2B5EF4-FFF2-40B4-BE49-F238E27FC236}">
                <a16:creationId xmlns:a16="http://schemas.microsoft.com/office/drawing/2014/main" id="{169F9D69-F348-D5FC-7090-1DF48F2E32DE}"/>
              </a:ext>
            </a:extLst>
          </xdr:cNvPr>
          <xdr:cNvCxnSpPr>
            <a:cxnSpLocks/>
            <a:endCxn id="12" idx="0"/>
          </xdr:cNvCxnSpPr>
        </xdr:nvCxnSpPr>
        <xdr:spPr>
          <a:xfrm>
            <a:off x="28688244" y="1256672"/>
            <a:ext cx="0" cy="2203784"/>
          </a:xfrm>
          <a:prstGeom prst="straightConnector1">
            <a:avLst/>
          </a:prstGeom>
          <a:ln w="38100">
            <a:solidFill>
              <a:srgbClr val="00B050"/>
            </a:solidFill>
            <a:prstDash val="sys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Conector recto de flecha 61">
            <a:extLst>
              <a:ext uri="{FF2B5EF4-FFF2-40B4-BE49-F238E27FC236}">
                <a16:creationId xmlns:a16="http://schemas.microsoft.com/office/drawing/2014/main" id="{16C29E03-C955-F5C0-7FFC-ACB4FA194AB7}"/>
              </a:ext>
            </a:extLst>
          </xdr:cNvPr>
          <xdr:cNvCxnSpPr>
            <a:cxnSpLocks/>
            <a:endCxn id="11" idx="0"/>
          </xdr:cNvCxnSpPr>
        </xdr:nvCxnSpPr>
        <xdr:spPr>
          <a:xfrm>
            <a:off x="33168765" y="1260231"/>
            <a:ext cx="0" cy="2186145"/>
          </a:xfrm>
          <a:prstGeom prst="straightConnector1">
            <a:avLst/>
          </a:prstGeom>
          <a:ln w="38100">
            <a:solidFill>
              <a:srgbClr val="00B050"/>
            </a:solidFill>
            <a:prstDash val="sys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Conector: angular 62">
            <a:extLst>
              <a:ext uri="{FF2B5EF4-FFF2-40B4-BE49-F238E27FC236}">
                <a16:creationId xmlns:a16="http://schemas.microsoft.com/office/drawing/2014/main" id="{33EC65D2-B365-E942-2F9D-CFC82F3A49A7}"/>
              </a:ext>
            </a:extLst>
          </xdr:cNvPr>
          <xdr:cNvCxnSpPr>
            <a:cxnSpLocks/>
            <a:endCxn id="20" idx="0"/>
          </xdr:cNvCxnSpPr>
        </xdr:nvCxnSpPr>
        <xdr:spPr>
          <a:xfrm rot="5400000">
            <a:off x="26377214" y="3520959"/>
            <a:ext cx="7036898" cy="2425766"/>
          </a:xfrm>
          <a:prstGeom prst="bentConnector3">
            <a:avLst>
              <a:gd name="adj1" fmla="val 86401"/>
            </a:avLst>
          </a:prstGeom>
          <a:ln w="38100">
            <a:solidFill>
              <a:srgbClr val="00B050"/>
            </a:solidFill>
            <a:prstDash val="sys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Conector recto 63">
            <a:extLst>
              <a:ext uri="{FF2B5EF4-FFF2-40B4-BE49-F238E27FC236}">
                <a16:creationId xmlns:a16="http://schemas.microsoft.com/office/drawing/2014/main" id="{C0BF6D9E-E179-0952-14CD-D330BCCF1933}"/>
              </a:ext>
            </a:extLst>
          </xdr:cNvPr>
          <xdr:cNvCxnSpPr>
            <a:cxnSpLocks/>
          </xdr:cNvCxnSpPr>
        </xdr:nvCxnSpPr>
        <xdr:spPr>
          <a:xfrm>
            <a:off x="10093938" y="1748792"/>
            <a:ext cx="28579091" cy="0"/>
          </a:xfrm>
          <a:prstGeom prst="line">
            <a:avLst/>
          </a:prstGeom>
          <a:ln w="57150">
            <a:solidFill>
              <a:srgbClr val="00B0F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Conector recto de flecha 64">
            <a:extLst>
              <a:ext uri="{FF2B5EF4-FFF2-40B4-BE49-F238E27FC236}">
                <a16:creationId xmlns:a16="http://schemas.microsoft.com/office/drawing/2014/main" id="{FB8ABF38-C4E8-3F0F-835B-4FBA4B656CC1}"/>
              </a:ext>
            </a:extLst>
          </xdr:cNvPr>
          <xdr:cNvCxnSpPr>
            <a:cxnSpLocks/>
          </xdr:cNvCxnSpPr>
        </xdr:nvCxnSpPr>
        <xdr:spPr>
          <a:xfrm>
            <a:off x="28999257" y="1748792"/>
            <a:ext cx="0" cy="1706269"/>
          </a:xfrm>
          <a:prstGeom prst="straightConnector1">
            <a:avLst/>
          </a:prstGeom>
          <a:ln w="38100">
            <a:solidFill>
              <a:srgbClr val="00B0F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Conector recto de flecha 65">
            <a:extLst>
              <a:ext uri="{FF2B5EF4-FFF2-40B4-BE49-F238E27FC236}">
                <a16:creationId xmlns:a16="http://schemas.microsoft.com/office/drawing/2014/main" id="{737BA93F-E61A-53AD-51C7-210A073E6438}"/>
              </a:ext>
            </a:extLst>
          </xdr:cNvPr>
          <xdr:cNvCxnSpPr>
            <a:cxnSpLocks/>
          </xdr:cNvCxnSpPr>
        </xdr:nvCxnSpPr>
        <xdr:spPr>
          <a:xfrm>
            <a:off x="24570595" y="1779548"/>
            <a:ext cx="0" cy="1706269"/>
          </a:xfrm>
          <a:prstGeom prst="straightConnector1">
            <a:avLst/>
          </a:prstGeom>
          <a:ln w="38100">
            <a:solidFill>
              <a:srgbClr val="00B0F0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recto 66">
            <a:extLst>
              <a:ext uri="{FF2B5EF4-FFF2-40B4-BE49-F238E27FC236}">
                <a16:creationId xmlns:a16="http://schemas.microsoft.com/office/drawing/2014/main" id="{98A074C9-2CBA-4353-4199-A5DF51772178}"/>
              </a:ext>
            </a:extLst>
          </xdr:cNvPr>
          <xdr:cNvCxnSpPr>
            <a:cxnSpLocks/>
          </xdr:cNvCxnSpPr>
        </xdr:nvCxnSpPr>
        <xdr:spPr>
          <a:xfrm>
            <a:off x="10093938" y="657225"/>
            <a:ext cx="28612770" cy="0"/>
          </a:xfrm>
          <a:prstGeom prst="line">
            <a:avLst/>
          </a:prstGeom>
          <a:ln w="57150" cmpd="dbl">
            <a:solidFill>
              <a:srgbClr val="FFC000"/>
            </a:solidFill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Conector recto de flecha 67">
            <a:extLst>
              <a:ext uri="{FF2B5EF4-FFF2-40B4-BE49-F238E27FC236}">
                <a16:creationId xmlns:a16="http://schemas.microsoft.com/office/drawing/2014/main" id="{09E4E624-33FC-3805-9F10-42425D629896}"/>
              </a:ext>
            </a:extLst>
          </xdr:cNvPr>
          <xdr:cNvCxnSpPr>
            <a:cxnSpLocks/>
            <a:endCxn id="38" idx="0"/>
          </xdr:cNvCxnSpPr>
        </xdr:nvCxnSpPr>
        <xdr:spPr>
          <a:xfrm>
            <a:off x="11066469" y="657224"/>
            <a:ext cx="0" cy="2792150"/>
          </a:xfrm>
          <a:prstGeom prst="straightConnector1">
            <a:avLst/>
          </a:prstGeom>
          <a:ln w="38100" cmpd="dbl">
            <a:solidFill>
              <a:srgbClr val="FFC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Conector recto de flecha 68">
            <a:extLst>
              <a:ext uri="{FF2B5EF4-FFF2-40B4-BE49-F238E27FC236}">
                <a16:creationId xmlns:a16="http://schemas.microsoft.com/office/drawing/2014/main" id="{296B35E5-1C24-F85F-7C3D-0E565FD13C40}"/>
              </a:ext>
            </a:extLst>
          </xdr:cNvPr>
          <xdr:cNvCxnSpPr>
            <a:cxnSpLocks/>
          </xdr:cNvCxnSpPr>
        </xdr:nvCxnSpPr>
        <xdr:spPr>
          <a:xfrm>
            <a:off x="15854369" y="671865"/>
            <a:ext cx="0" cy="2792150"/>
          </a:xfrm>
          <a:prstGeom prst="straightConnector1">
            <a:avLst/>
          </a:prstGeom>
          <a:ln w="38100" cmpd="dbl">
            <a:solidFill>
              <a:srgbClr val="FFC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Conector recto de flecha 69">
            <a:extLst>
              <a:ext uri="{FF2B5EF4-FFF2-40B4-BE49-F238E27FC236}">
                <a16:creationId xmlns:a16="http://schemas.microsoft.com/office/drawing/2014/main" id="{B24071B6-967E-09E5-004E-BAA8BA865820}"/>
              </a:ext>
            </a:extLst>
          </xdr:cNvPr>
          <xdr:cNvCxnSpPr>
            <a:cxnSpLocks/>
          </xdr:cNvCxnSpPr>
        </xdr:nvCxnSpPr>
        <xdr:spPr>
          <a:xfrm>
            <a:off x="19755437" y="654226"/>
            <a:ext cx="0" cy="2792150"/>
          </a:xfrm>
          <a:prstGeom prst="straightConnector1">
            <a:avLst/>
          </a:prstGeom>
          <a:ln w="38100" cmpd="dbl">
            <a:solidFill>
              <a:srgbClr val="FFC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Conector recto de flecha 70">
            <a:extLst>
              <a:ext uri="{FF2B5EF4-FFF2-40B4-BE49-F238E27FC236}">
                <a16:creationId xmlns:a16="http://schemas.microsoft.com/office/drawing/2014/main" id="{D0D3C3E8-4843-AD03-3A5E-D67ED7454332}"/>
              </a:ext>
            </a:extLst>
          </xdr:cNvPr>
          <xdr:cNvCxnSpPr>
            <a:cxnSpLocks/>
          </xdr:cNvCxnSpPr>
        </xdr:nvCxnSpPr>
        <xdr:spPr>
          <a:xfrm>
            <a:off x="23959491" y="693667"/>
            <a:ext cx="0" cy="2792150"/>
          </a:xfrm>
          <a:prstGeom prst="straightConnector1">
            <a:avLst/>
          </a:prstGeom>
          <a:ln w="38100" cmpd="dbl">
            <a:solidFill>
              <a:srgbClr val="FFC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Conector recto de flecha 71">
            <a:extLst>
              <a:ext uri="{FF2B5EF4-FFF2-40B4-BE49-F238E27FC236}">
                <a16:creationId xmlns:a16="http://schemas.microsoft.com/office/drawing/2014/main" id="{3A6FB4CC-B7B6-0815-6AFD-E965F4769456}"/>
              </a:ext>
            </a:extLst>
          </xdr:cNvPr>
          <xdr:cNvCxnSpPr>
            <a:cxnSpLocks/>
          </xdr:cNvCxnSpPr>
        </xdr:nvCxnSpPr>
        <xdr:spPr>
          <a:xfrm>
            <a:off x="28342805" y="693667"/>
            <a:ext cx="0" cy="2792150"/>
          </a:xfrm>
          <a:prstGeom prst="straightConnector1">
            <a:avLst/>
          </a:prstGeom>
          <a:ln w="38100" cmpd="dbl">
            <a:solidFill>
              <a:srgbClr val="FFC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Conector recto de flecha 72">
            <a:extLst>
              <a:ext uri="{FF2B5EF4-FFF2-40B4-BE49-F238E27FC236}">
                <a16:creationId xmlns:a16="http://schemas.microsoft.com/office/drawing/2014/main" id="{F6188120-F082-E5F2-2A43-5E0E4B0FCB73}"/>
              </a:ext>
            </a:extLst>
          </xdr:cNvPr>
          <xdr:cNvCxnSpPr>
            <a:cxnSpLocks/>
          </xdr:cNvCxnSpPr>
        </xdr:nvCxnSpPr>
        <xdr:spPr>
          <a:xfrm>
            <a:off x="32948826" y="708729"/>
            <a:ext cx="0" cy="2792150"/>
          </a:xfrm>
          <a:prstGeom prst="straightConnector1">
            <a:avLst/>
          </a:prstGeom>
          <a:ln w="38100" cmpd="dbl">
            <a:solidFill>
              <a:srgbClr val="FFC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Conector: angular 73">
            <a:extLst>
              <a:ext uri="{FF2B5EF4-FFF2-40B4-BE49-F238E27FC236}">
                <a16:creationId xmlns:a16="http://schemas.microsoft.com/office/drawing/2014/main" id="{1451B4CD-ED6D-0C61-72B1-C91D105C4403}"/>
              </a:ext>
            </a:extLst>
          </xdr:cNvPr>
          <xdr:cNvCxnSpPr/>
        </xdr:nvCxnSpPr>
        <xdr:spPr>
          <a:xfrm rot="16200000" flipH="1">
            <a:off x="14652987" y="3643009"/>
            <a:ext cx="7558624" cy="1659940"/>
          </a:xfrm>
          <a:prstGeom prst="bentConnector3">
            <a:avLst>
              <a:gd name="adj1" fmla="val 63657"/>
            </a:avLst>
          </a:prstGeom>
          <a:ln w="38100" cmpd="dbl">
            <a:solidFill>
              <a:srgbClr val="FFC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Conector: angular 74">
            <a:extLst>
              <a:ext uri="{FF2B5EF4-FFF2-40B4-BE49-F238E27FC236}">
                <a16:creationId xmlns:a16="http://schemas.microsoft.com/office/drawing/2014/main" id="{CE106112-1439-1242-6A81-72CA98127179}"/>
              </a:ext>
            </a:extLst>
          </xdr:cNvPr>
          <xdr:cNvCxnSpPr/>
        </xdr:nvCxnSpPr>
        <xdr:spPr>
          <a:xfrm rot="16200000" flipH="1">
            <a:off x="19090738" y="3643009"/>
            <a:ext cx="7558624" cy="1659940"/>
          </a:xfrm>
          <a:prstGeom prst="bentConnector3">
            <a:avLst>
              <a:gd name="adj1" fmla="val 63303"/>
            </a:avLst>
          </a:prstGeom>
          <a:ln w="38100" cmpd="dbl">
            <a:solidFill>
              <a:srgbClr val="FFC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Conector: angular 75">
            <a:extLst>
              <a:ext uri="{FF2B5EF4-FFF2-40B4-BE49-F238E27FC236}">
                <a16:creationId xmlns:a16="http://schemas.microsoft.com/office/drawing/2014/main" id="{87BF5ADC-3ADC-627F-4CCA-1F79F198A23D}"/>
              </a:ext>
            </a:extLst>
          </xdr:cNvPr>
          <xdr:cNvCxnSpPr/>
        </xdr:nvCxnSpPr>
        <xdr:spPr>
          <a:xfrm rot="16200000" flipH="1">
            <a:off x="23696758" y="3643009"/>
            <a:ext cx="7558624" cy="1659940"/>
          </a:xfrm>
          <a:prstGeom prst="bentConnector3">
            <a:avLst>
              <a:gd name="adj1" fmla="val 50000"/>
            </a:avLst>
          </a:prstGeom>
          <a:ln w="38100" cmpd="dbl">
            <a:solidFill>
              <a:srgbClr val="FFC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Conector: angular 76">
            <a:extLst>
              <a:ext uri="{FF2B5EF4-FFF2-40B4-BE49-F238E27FC236}">
                <a16:creationId xmlns:a16="http://schemas.microsoft.com/office/drawing/2014/main" id="{D950B517-185B-8AB7-7354-0CB7AD53B7DE}"/>
              </a:ext>
            </a:extLst>
          </xdr:cNvPr>
          <xdr:cNvCxnSpPr/>
        </xdr:nvCxnSpPr>
        <xdr:spPr>
          <a:xfrm rot="16200000" flipH="1">
            <a:off x="28456999" y="3643009"/>
            <a:ext cx="7558624" cy="1659940"/>
          </a:xfrm>
          <a:prstGeom prst="bentConnector3">
            <a:avLst>
              <a:gd name="adj1" fmla="val 50000"/>
            </a:avLst>
          </a:prstGeom>
          <a:ln w="38100" cmpd="dbl">
            <a:solidFill>
              <a:srgbClr val="FFC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" name="CuadroTexto 50">
            <a:extLst>
              <a:ext uri="{FF2B5EF4-FFF2-40B4-BE49-F238E27FC236}">
                <a16:creationId xmlns:a16="http://schemas.microsoft.com/office/drawing/2014/main" id="{AA534F05-8688-FE9E-1E9F-FB875808E5A4}"/>
              </a:ext>
            </a:extLst>
          </xdr:cNvPr>
          <xdr:cNvSpPr txBox="1"/>
        </xdr:nvSpPr>
        <xdr:spPr>
          <a:xfrm flipH="1">
            <a:off x="38767194" y="513223"/>
            <a:ext cx="1282817" cy="282005"/>
          </a:xfrm>
          <a:prstGeom prst="rect">
            <a:avLst/>
          </a:prstGeom>
          <a:noFill/>
        </xdr:spPr>
        <xdr:txBody>
          <a:bodyPr wrap="square" rtlCol="0" anchor="t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 baseline="-25000">
                <a:latin typeface="Abadi" panose="020B0604020104020204" pitchFamily="34" charset="0"/>
              </a:rPr>
              <a:t>Electricidad </a:t>
            </a:r>
          </a:p>
        </xdr:txBody>
      </xdr:sp>
      <xdr:sp macro="" textlink="">
        <xdr:nvSpPr>
          <xdr:cNvPr id="79" name="CuadroTexto 50">
            <a:extLst>
              <a:ext uri="{FF2B5EF4-FFF2-40B4-BE49-F238E27FC236}">
                <a16:creationId xmlns:a16="http://schemas.microsoft.com/office/drawing/2014/main" id="{7D1EEE87-FD66-7396-C644-C36257E26186}"/>
              </a:ext>
            </a:extLst>
          </xdr:cNvPr>
          <xdr:cNvSpPr txBox="1"/>
        </xdr:nvSpPr>
        <xdr:spPr>
          <a:xfrm flipH="1">
            <a:off x="38755859" y="974667"/>
            <a:ext cx="1282817" cy="282005"/>
          </a:xfrm>
          <a:prstGeom prst="rect">
            <a:avLst/>
          </a:prstGeom>
          <a:noFill/>
        </xdr:spPr>
        <xdr:txBody>
          <a:bodyPr wrap="square" rtlCol="0" anchor="t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 baseline="-25000">
                <a:latin typeface="Abadi" panose="020B0604020104020204" pitchFamily="34" charset="0"/>
              </a:rPr>
              <a:t>Vapor</a:t>
            </a:r>
          </a:p>
        </xdr:txBody>
      </xdr:sp>
      <xdr:sp macro="" textlink="">
        <xdr:nvSpPr>
          <xdr:cNvPr id="80" name="CuadroTexto 50">
            <a:extLst>
              <a:ext uri="{FF2B5EF4-FFF2-40B4-BE49-F238E27FC236}">
                <a16:creationId xmlns:a16="http://schemas.microsoft.com/office/drawing/2014/main" id="{52E9ED8C-7A19-AAE5-A165-AE39D197F104}"/>
              </a:ext>
            </a:extLst>
          </xdr:cNvPr>
          <xdr:cNvSpPr txBox="1"/>
        </xdr:nvSpPr>
        <xdr:spPr>
          <a:xfrm flipH="1">
            <a:off x="38779117" y="1500818"/>
            <a:ext cx="1282817" cy="282005"/>
          </a:xfrm>
          <a:prstGeom prst="rect">
            <a:avLst/>
          </a:prstGeom>
          <a:noFill/>
        </xdr:spPr>
        <xdr:txBody>
          <a:bodyPr wrap="square" rtlCol="0" anchor="t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2400" baseline="-25000">
                <a:latin typeface="Abadi" panose="020B0604020104020204" pitchFamily="34" charset="0"/>
              </a:rPr>
              <a:t>Agua</a:t>
            </a:r>
          </a:p>
        </xdr:txBody>
      </xdr:sp>
      <xdr:sp macro="" textlink="">
        <xdr:nvSpPr>
          <xdr:cNvPr id="81" name="Rectángulo 80">
            <a:extLst>
              <a:ext uri="{FF2B5EF4-FFF2-40B4-BE49-F238E27FC236}">
                <a16:creationId xmlns:a16="http://schemas.microsoft.com/office/drawing/2014/main" id="{8DD9FEB6-BE6F-2903-5626-4E6DD809F2D0}"/>
              </a:ext>
            </a:extLst>
          </xdr:cNvPr>
          <xdr:cNvSpPr/>
        </xdr:nvSpPr>
        <xdr:spPr>
          <a:xfrm>
            <a:off x="9437996" y="275964"/>
            <a:ext cx="26227212" cy="10812897"/>
          </a:xfrm>
          <a:prstGeom prst="rect">
            <a:avLst/>
          </a:prstGeom>
          <a:noFill/>
          <a:ln w="57150">
            <a:solidFill>
              <a:srgbClr val="C00000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/>
          </a:p>
        </xdr:txBody>
      </xdr:sp>
      <xdr:grpSp>
        <xdr:nvGrpSpPr>
          <xdr:cNvPr id="82" name="Grupo 81">
            <a:extLst>
              <a:ext uri="{FF2B5EF4-FFF2-40B4-BE49-F238E27FC236}">
                <a16:creationId xmlns:a16="http://schemas.microsoft.com/office/drawing/2014/main" id="{E576E380-F5B1-9282-107E-0C6F3985C32B}"/>
              </a:ext>
            </a:extLst>
          </xdr:cNvPr>
          <xdr:cNvGrpSpPr/>
        </xdr:nvGrpSpPr>
        <xdr:grpSpPr>
          <a:xfrm>
            <a:off x="17510335" y="12554873"/>
            <a:ext cx="23864244" cy="8819588"/>
            <a:chOff x="14035977" y="12156832"/>
            <a:chExt cx="23864244" cy="8819588"/>
          </a:xfrm>
        </xdr:grpSpPr>
        <xdr:grpSp>
          <xdr:nvGrpSpPr>
            <xdr:cNvPr id="99" name="Grupo 98">
              <a:extLst>
                <a:ext uri="{FF2B5EF4-FFF2-40B4-BE49-F238E27FC236}">
                  <a16:creationId xmlns:a16="http://schemas.microsoft.com/office/drawing/2014/main" id="{FFF463F2-F8D0-39D8-23E4-84014B9E2DE8}"/>
                </a:ext>
              </a:extLst>
            </xdr:cNvPr>
            <xdr:cNvGrpSpPr/>
          </xdr:nvGrpSpPr>
          <xdr:grpSpPr>
            <a:xfrm>
              <a:off x="14035977" y="12789043"/>
              <a:ext cx="22950985" cy="8187377"/>
              <a:chOff x="14246939" y="14524949"/>
              <a:chExt cx="22950985" cy="8187377"/>
            </a:xfrm>
          </xdr:grpSpPr>
          <mc:AlternateContent xmlns:mc="http://schemas.openxmlformats.org/markup-compatibility/2006" xmlns:a14="http://schemas.microsoft.com/office/drawing/2010/main">
            <mc:Choice Requires="a14">
              <xdr:sp macro="" textlink="">
                <xdr:nvSpPr>
                  <xdr:cNvPr id="108" name="CuadroTexto 49">
                    <a:extLst>
                      <a:ext uri="{FF2B5EF4-FFF2-40B4-BE49-F238E27FC236}">
                        <a16:creationId xmlns:a16="http://schemas.microsoft.com/office/drawing/2014/main" id="{1015970D-E1E6-90C5-A4CB-0691B6E078A3}"/>
                      </a:ext>
                    </a:extLst>
                  </xdr:cNvPr>
                  <xdr:cNvSpPr txBox="1"/>
                </xdr:nvSpPr>
                <xdr:spPr>
                  <a:xfrm flipH="1">
                    <a:off x="25522514" y="14524949"/>
                    <a:ext cx="1662976" cy="576192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noAutofit/>
                  </a:bodyPr>
                  <a:lstStyle>
                    <a:defPPr>
                      <a:defRPr lang="en-U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/>
                    <a14:m>
                      <m:oMathPara xmlns:m="http://schemas.openxmlformats.org/officeDocument/2006/math">
                        <m:oMathParaPr>
                          <m:jc m:val="centerGroup"/>
                        </m:oMathParaPr>
                        <m:oMath xmlns:m="http://schemas.openxmlformats.org/officeDocument/2006/math">
                          <m:sSub>
                            <m:sSubPr>
                              <m:ctrlPr>
                                <a:rPr lang="en-US" sz="2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acc>
                                <m:accPr>
                                  <m:chr m:val="̇"/>
                                  <m:ctrlPr>
                                    <a:rPr lang="en-US" sz="2400" i="1">
                                      <a:latin typeface="Cambria Math" panose="02040503050406030204" pitchFamily="18" charset="0"/>
                                    </a:rPr>
                                  </m:ctrlPr>
                                </m:accPr>
                                <m:e>
                                  <m:r>
                                    <a:rPr lang="es-CO" sz="2400" i="1">
                                      <a:latin typeface="Cambria Math" panose="02040503050406030204" pitchFamily="18" charset="0"/>
                                    </a:rPr>
                                    <m:t>𝑄</m:t>
                                  </m:r>
                                </m:e>
                              </m:acc>
                            </m:e>
                            <m:sub>
                              <m:r>
                                <a:rPr lang="es-CO" sz="2400" i="1">
                                  <a:latin typeface="Cambria Math" panose="02040503050406030204" pitchFamily="18" charset="0"/>
                                </a:rPr>
                                <m:t>𝑖𝑛</m:t>
                              </m:r>
                            </m:sub>
                          </m:sSub>
                        </m:oMath>
                      </m:oMathPara>
                    </a14:m>
                    <a:endParaRPr lang="en-US" sz="2400">
                      <a:latin typeface="Abadi" panose="020B0604020104020204" pitchFamily="34" charset="0"/>
                    </a:endParaRPr>
                  </a:p>
                </xdr:txBody>
              </xdr:sp>
            </mc:Choice>
            <mc:Fallback xmlns="">
              <xdr:sp macro="" textlink="">
                <xdr:nvSpPr>
                  <xdr:cNvPr id="108" name="CuadroTexto 49">
                    <a:extLst>
                      <a:ext uri="{FF2B5EF4-FFF2-40B4-BE49-F238E27FC236}">
                        <a16:creationId xmlns:a16="http://schemas.microsoft.com/office/drawing/2014/main" id="{1015970D-E1E6-90C5-A4CB-0691B6E078A3}"/>
                      </a:ext>
                    </a:extLst>
                  </xdr:cNvPr>
                  <xdr:cNvSpPr txBox="1"/>
                </xdr:nvSpPr>
                <xdr:spPr>
                  <a:xfrm flipH="1">
                    <a:off x="25522514" y="14524949"/>
                    <a:ext cx="1662976" cy="576192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noAutofit/>
                  </a:bodyPr>
                  <a:lstStyle>
                    <a:defPPr>
                      <a:defRPr lang="en-U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/>
                    <a:r>
                      <a:rPr lang="es-CO" sz="2400" i="0">
                        <a:latin typeface="Cambria Math" panose="02040503050406030204" pitchFamily="18" charset="0"/>
                      </a:rPr>
                      <a:t>𝑄</a:t>
                    </a:r>
                    <a:r>
                      <a:rPr lang="en-US" sz="2400" i="0">
                        <a:latin typeface="Cambria Math" panose="02040503050406030204" pitchFamily="18" charset="0"/>
                      </a:rPr>
                      <a:t> ̇_</a:t>
                    </a:r>
                    <a:r>
                      <a:rPr lang="es-CO" sz="2400" i="0">
                        <a:latin typeface="Cambria Math" panose="02040503050406030204" pitchFamily="18" charset="0"/>
                      </a:rPr>
                      <a:t>𝑖𝑛</a:t>
                    </a:r>
                    <a:endParaRPr lang="en-US" sz="2400">
                      <a:latin typeface="Abadi" panose="020B0604020104020204" pitchFamily="34" charset="0"/>
                    </a:endParaRPr>
                  </a:p>
                </xdr:txBody>
              </xdr:sp>
            </mc:Fallback>
          </mc:AlternateContent>
          <xdr:sp macro="" textlink="">
            <xdr:nvSpPr>
              <xdr:cNvPr id="109" name="CuadroTexto 50">
                <a:extLst>
                  <a:ext uri="{FF2B5EF4-FFF2-40B4-BE49-F238E27FC236}">
                    <a16:creationId xmlns:a16="http://schemas.microsoft.com/office/drawing/2014/main" id="{52CB057C-886C-FF14-F0EA-654C5AEA5B5E}"/>
                  </a:ext>
                </a:extLst>
              </xdr:cNvPr>
              <xdr:cNvSpPr txBox="1"/>
            </xdr:nvSpPr>
            <xdr:spPr>
              <a:xfrm flipH="1">
                <a:off x="36325426" y="16823327"/>
                <a:ext cx="872498" cy="562852"/>
              </a:xfrm>
              <a:prstGeom prst="rect">
                <a:avLst/>
              </a:prstGeom>
              <a:noFill/>
            </xdr:spPr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2400">
                    <a:latin typeface="Abadi" panose="020B0604020104020204" pitchFamily="34" charset="0"/>
                  </a:rPr>
                  <a:t>W</a:t>
                </a:r>
                <a:r>
                  <a:rPr lang="en-US" sz="2400" baseline="-25000">
                    <a:latin typeface="Abadi" panose="020B0604020104020204" pitchFamily="34" charset="0"/>
                  </a:rPr>
                  <a:t>CHP</a:t>
                </a:r>
              </a:p>
            </xdr:txBody>
          </xdr:sp>
          <xdr:grpSp>
            <xdr:nvGrpSpPr>
              <xdr:cNvPr id="110" name="Grupo 109">
                <a:extLst>
                  <a:ext uri="{FF2B5EF4-FFF2-40B4-BE49-F238E27FC236}">
                    <a16:creationId xmlns:a16="http://schemas.microsoft.com/office/drawing/2014/main" id="{12BB5783-9EBB-DD65-EEF1-FBBF1E46A549}"/>
                  </a:ext>
                </a:extLst>
              </xdr:cNvPr>
              <xdr:cNvGrpSpPr/>
            </xdr:nvGrpSpPr>
            <xdr:grpSpPr>
              <a:xfrm>
                <a:off x="31520677" y="18198407"/>
                <a:ext cx="2522517" cy="2225525"/>
                <a:chOff x="28981630" y="17572046"/>
                <a:chExt cx="2522517" cy="2225525"/>
              </a:xfrm>
            </xdr:grpSpPr>
            <xdr:sp macro="" textlink="">
              <xdr:nvSpPr>
                <xdr:cNvPr id="130" name="Rectángulo 129">
                  <a:extLst>
                    <a:ext uri="{FF2B5EF4-FFF2-40B4-BE49-F238E27FC236}">
                      <a16:creationId xmlns:a16="http://schemas.microsoft.com/office/drawing/2014/main" id="{E47A29EC-E003-30B5-4A76-C750201F62D3}"/>
                    </a:ext>
                  </a:extLst>
                </xdr:cNvPr>
                <xdr:cNvSpPr/>
              </xdr:nvSpPr>
              <xdr:spPr>
                <a:xfrm flipH="1">
                  <a:off x="30964147" y="17572046"/>
                  <a:ext cx="540000" cy="1440000"/>
                </a:xfrm>
                <a:prstGeom prst="rect">
                  <a:avLst/>
                </a:prstGeom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="vert270" wrap="square" rtlCol="0" anchor="ctr"/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s-CO" sz="2400">
                      <a:latin typeface="Abadi" panose="020B0604020104020204" pitchFamily="34" charset="0"/>
                    </a:rPr>
                    <a:t>TK Vapor</a:t>
                  </a:r>
                </a:p>
              </xdr:txBody>
            </xdr:sp>
            <xdr:cxnSp macro="">
              <xdr:nvCxnSpPr>
                <xdr:cNvPr id="131" name="Conector recto de flecha 130">
                  <a:extLst>
                    <a:ext uri="{FF2B5EF4-FFF2-40B4-BE49-F238E27FC236}">
                      <a16:creationId xmlns:a16="http://schemas.microsoft.com/office/drawing/2014/main" id="{79A660EF-58CE-4BF5-E500-EECE8B744982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30360730" y="18720933"/>
                  <a:ext cx="603413" cy="0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132" name="Grupo 131">
                  <a:extLst>
                    <a:ext uri="{FF2B5EF4-FFF2-40B4-BE49-F238E27FC236}">
                      <a16:creationId xmlns:a16="http://schemas.microsoft.com/office/drawing/2014/main" id="{74C878C8-6720-9E02-9446-61D498BDADD9}"/>
                    </a:ext>
                  </a:extLst>
                </xdr:cNvPr>
                <xdr:cNvGrpSpPr/>
              </xdr:nvGrpSpPr>
              <xdr:grpSpPr>
                <a:xfrm>
                  <a:off x="29260346" y="18562287"/>
                  <a:ext cx="1104811" cy="328572"/>
                  <a:chOff x="11877995" y="4541589"/>
                  <a:chExt cx="483891" cy="143735"/>
                </a:xfrm>
              </xdr:grpSpPr>
              <xdr:grpSp>
                <xdr:nvGrpSpPr>
                  <xdr:cNvPr id="134" name="Grupo 133">
                    <a:extLst>
                      <a:ext uri="{FF2B5EF4-FFF2-40B4-BE49-F238E27FC236}">
                        <a16:creationId xmlns:a16="http://schemas.microsoft.com/office/drawing/2014/main" id="{50EC2C85-A858-86C4-F6DA-593CD4E78087}"/>
                      </a:ext>
                    </a:extLst>
                  </xdr:cNvPr>
                  <xdr:cNvGrpSpPr/>
                </xdr:nvGrpSpPr>
                <xdr:grpSpPr>
                  <a:xfrm>
                    <a:off x="11877995" y="4541589"/>
                    <a:ext cx="470334" cy="143735"/>
                    <a:chOff x="11877995" y="4541591"/>
                    <a:chExt cx="470334" cy="150170"/>
                  </a:xfrm>
                </xdr:grpSpPr>
                <xdr:cxnSp macro="">
                  <xdr:nvCxnSpPr>
                    <xdr:cNvPr id="136" name="Conector recto 135">
                      <a:extLst>
                        <a:ext uri="{FF2B5EF4-FFF2-40B4-BE49-F238E27FC236}">
                          <a16:creationId xmlns:a16="http://schemas.microsoft.com/office/drawing/2014/main" id="{F7F53B4D-F3BD-BC03-2B3A-36EF19233972}"/>
                        </a:ext>
                      </a:extLst>
                    </xdr:cNvPr>
                    <xdr:cNvCxnSpPr/>
                  </xdr:nvCxnSpPr>
                  <xdr:spPr>
                    <a:xfrm>
                      <a:off x="12243554" y="4544213"/>
                      <a:ext cx="0" cy="144000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dk1"/>
                    </a:lnRef>
                    <a:fillRef idx="0">
                      <a:schemeClr val="dk1"/>
                    </a:fillRef>
                    <a:effectRef idx="1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7" name="Conector recto 136">
                      <a:extLst>
                        <a:ext uri="{FF2B5EF4-FFF2-40B4-BE49-F238E27FC236}">
                          <a16:creationId xmlns:a16="http://schemas.microsoft.com/office/drawing/2014/main" id="{0E071067-BA4C-9AEC-38E5-170673192B96}"/>
                        </a:ext>
                      </a:extLst>
                    </xdr:cNvPr>
                    <xdr:cNvCxnSpPr/>
                  </xdr:nvCxnSpPr>
                  <xdr:spPr>
                    <a:xfrm>
                      <a:off x="11877995" y="4677610"/>
                      <a:ext cx="0" cy="0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dk1"/>
                    </a:lnRef>
                    <a:fillRef idx="0">
                      <a:schemeClr val="dk1"/>
                    </a:fillRef>
                    <a:effectRef idx="1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8" name="Conector recto 137">
                      <a:extLst>
                        <a:ext uri="{FF2B5EF4-FFF2-40B4-BE49-F238E27FC236}">
                          <a16:creationId xmlns:a16="http://schemas.microsoft.com/office/drawing/2014/main" id="{F1BEB162-D140-1815-4A1E-C59CDC54C801}"/>
                        </a:ext>
                      </a:extLst>
                    </xdr:cNvPr>
                    <xdr:cNvCxnSpPr/>
                  </xdr:nvCxnSpPr>
                  <xdr:spPr>
                    <a:xfrm flipV="1">
                      <a:off x="12243555" y="4547760"/>
                      <a:ext cx="52387" cy="144001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dk1"/>
                    </a:lnRef>
                    <a:fillRef idx="0">
                      <a:schemeClr val="dk1"/>
                    </a:fillRef>
                    <a:effectRef idx="1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9" name="Conector recto 138">
                      <a:extLst>
                        <a:ext uri="{FF2B5EF4-FFF2-40B4-BE49-F238E27FC236}">
                          <a16:creationId xmlns:a16="http://schemas.microsoft.com/office/drawing/2014/main" id="{1A31731B-058A-8605-BADE-AF4D4B37CA52}"/>
                        </a:ext>
                      </a:extLst>
                    </xdr:cNvPr>
                    <xdr:cNvCxnSpPr>
                      <a:cxnSpLocks/>
                    </xdr:cNvCxnSpPr>
                  </xdr:nvCxnSpPr>
                  <xdr:spPr>
                    <a:xfrm flipV="1">
                      <a:off x="12295943" y="4544213"/>
                      <a:ext cx="0" cy="144000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dk1"/>
                    </a:lnRef>
                    <a:fillRef idx="0">
                      <a:schemeClr val="dk1"/>
                    </a:fillRef>
                    <a:effectRef idx="1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40" name="Conector recto 139">
                      <a:extLst>
                        <a:ext uri="{FF2B5EF4-FFF2-40B4-BE49-F238E27FC236}">
                          <a16:creationId xmlns:a16="http://schemas.microsoft.com/office/drawing/2014/main" id="{91568B5F-82C9-AAF0-0886-EA4223BAA2D4}"/>
                        </a:ext>
                      </a:extLst>
                    </xdr:cNvPr>
                    <xdr:cNvCxnSpPr/>
                  </xdr:nvCxnSpPr>
                  <xdr:spPr>
                    <a:xfrm flipV="1">
                      <a:off x="12292525" y="4541591"/>
                      <a:ext cx="52387" cy="144001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dk1"/>
                    </a:lnRef>
                    <a:fillRef idx="0">
                      <a:schemeClr val="dk1"/>
                    </a:fillRef>
                    <a:effectRef idx="1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41" name="Conector recto 140">
                      <a:extLst>
                        <a:ext uri="{FF2B5EF4-FFF2-40B4-BE49-F238E27FC236}">
                          <a16:creationId xmlns:a16="http://schemas.microsoft.com/office/drawing/2014/main" id="{309D2944-8F29-4E76-C1E2-DDAE5D72F6DB}"/>
                        </a:ext>
                      </a:extLst>
                    </xdr:cNvPr>
                    <xdr:cNvCxnSpPr>
                      <a:cxnSpLocks/>
                    </xdr:cNvCxnSpPr>
                  </xdr:nvCxnSpPr>
                  <xdr:spPr>
                    <a:xfrm flipV="1">
                      <a:off x="12348329" y="4541598"/>
                      <a:ext cx="0" cy="144000"/>
                    </a:xfrm>
                    <a:prstGeom prst="line">
                      <a:avLst/>
                    </a:prstGeom>
                  </xdr:spPr>
                  <xdr:style>
                    <a:lnRef idx="2">
                      <a:schemeClr val="dk1"/>
                    </a:lnRef>
                    <a:fillRef idx="0">
                      <a:schemeClr val="dk1"/>
                    </a:fillRef>
                    <a:effectRef idx="1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135" name="Conector recto 134">
                    <a:extLst>
                      <a:ext uri="{FF2B5EF4-FFF2-40B4-BE49-F238E27FC236}">
                        <a16:creationId xmlns:a16="http://schemas.microsoft.com/office/drawing/2014/main" id="{95496756-6200-42AE-1D89-4319A43A25BC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12181888" y="4610505"/>
                    <a:ext cx="179998" cy="0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133" name="Conector: angular 132">
                  <a:extLst>
                    <a:ext uri="{FF2B5EF4-FFF2-40B4-BE49-F238E27FC236}">
                      <a16:creationId xmlns:a16="http://schemas.microsoft.com/office/drawing/2014/main" id="{AD941389-5E65-B1F7-A124-89C3434D20F1}"/>
                    </a:ext>
                  </a:extLst>
                </xdr:cNvPr>
                <xdr:cNvCxnSpPr>
                  <a:cxnSpLocks/>
                </xdr:cNvCxnSpPr>
              </xdr:nvCxnSpPr>
              <xdr:spPr>
                <a:xfrm rot="10800000" flipV="1">
                  <a:off x="28981630" y="18870399"/>
                  <a:ext cx="1352577" cy="927172"/>
                </a:xfrm>
                <a:prstGeom prst="bentConnector3">
                  <a:avLst>
                    <a:gd name="adj1" fmla="val 50000"/>
                  </a:avLst>
                </a:prstGeom>
                <a:ln>
                  <a:headEnd type="triangle"/>
                  <a:tailEnd type="triangle"/>
                </a:ln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11" name="Trapecio 110">
                <a:extLst>
                  <a:ext uri="{FF2B5EF4-FFF2-40B4-BE49-F238E27FC236}">
                    <a16:creationId xmlns:a16="http://schemas.microsoft.com/office/drawing/2014/main" id="{FC40FF60-5A71-50F8-D62E-7309A3422826}"/>
                  </a:ext>
                </a:extLst>
              </xdr:cNvPr>
              <xdr:cNvSpPr/>
            </xdr:nvSpPr>
            <xdr:spPr>
              <a:xfrm rot="16200000">
                <a:off x="30598673" y="16406100"/>
                <a:ext cx="1645892" cy="1397308"/>
              </a:xfrm>
              <a:prstGeom prst="trapezoid">
                <a:avLst/>
              </a:prstGeom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="vert"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s-CO" sz="2400" b="1">
                    <a:latin typeface="Abadi" panose="020B0604020104020204" pitchFamily="34" charset="0"/>
                  </a:rPr>
                  <a:t>BPST</a:t>
                </a:r>
              </a:p>
            </xdr:txBody>
          </xdr:sp>
          <xdr:sp macro="" textlink="">
            <xdr:nvSpPr>
              <xdr:cNvPr id="112" name="Elipse 111">
                <a:extLst>
                  <a:ext uri="{FF2B5EF4-FFF2-40B4-BE49-F238E27FC236}">
                    <a16:creationId xmlns:a16="http://schemas.microsoft.com/office/drawing/2014/main" id="{EACCE4AB-0DDA-EEEF-B0C7-342A33D2C35C}"/>
                  </a:ext>
                </a:extLst>
              </xdr:cNvPr>
              <xdr:cNvSpPr/>
            </xdr:nvSpPr>
            <xdr:spPr>
              <a:xfrm>
                <a:off x="33973685" y="16615501"/>
                <a:ext cx="986335" cy="987536"/>
              </a:xfrm>
              <a:prstGeom prst="ellipse">
                <a:avLst/>
              </a:prstGeom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s-CO" sz="2400">
                    <a:latin typeface="Abadi" panose="020B0604020104020204" pitchFamily="34" charset="0"/>
                  </a:rPr>
                  <a:t>G</a:t>
                </a:r>
              </a:p>
            </xdr:txBody>
          </xdr:sp>
          <xdr:cxnSp macro="">
            <xdr:nvCxnSpPr>
              <xdr:cNvPr id="113" name="Conector recto 112">
                <a:extLst>
                  <a:ext uri="{FF2B5EF4-FFF2-40B4-BE49-F238E27FC236}">
                    <a16:creationId xmlns:a16="http://schemas.microsoft.com/office/drawing/2014/main" id="{9DB14DC4-587A-9FF2-0870-F0B08C89AC30}"/>
                  </a:ext>
                </a:extLst>
              </xdr:cNvPr>
              <xdr:cNvCxnSpPr>
                <a:cxnSpLocks/>
                <a:stCxn id="111" idx="2"/>
                <a:endCxn id="111" idx="2"/>
              </xdr:cNvCxnSpPr>
            </xdr:nvCxnSpPr>
            <xdr:spPr>
              <a:xfrm>
                <a:off x="32120273" y="17104754"/>
                <a:ext cx="0" cy="0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114" name="Grupo 113">
                <a:extLst>
                  <a:ext uri="{FF2B5EF4-FFF2-40B4-BE49-F238E27FC236}">
                    <a16:creationId xmlns:a16="http://schemas.microsoft.com/office/drawing/2014/main" id="{E5E9BBF6-175F-18F5-65CF-E78EACB40E11}"/>
                  </a:ext>
                </a:extLst>
              </xdr:cNvPr>
              <xdr:cNvGrpSpPr/>
            </xdr:nvGrpSpPr>
            <xdr:grpSpPr>
              <a:xfrm>
                <a:off x="14246939" y="16940164"/>
                <a:ext cx="28575" cy="329178"/>
                <a:chOff x="14456934" y="3227926"/>
                <a:chExt cx="28575" cy="144000"/>
              </a:xfrm>
            </xdr:grpSpPr>
            <xdr:cxnSp macro="">
              <xdr:nvCxnSpPr>
                <xdr:cNvPr id="128" name="Conector recto 127">
                  <a:extLst>
                    <a:ext uri="{FF2B5EF4-FFF2-40B4-BE49-F238E27FC236}">
                      <a16:creationId xmlns:a16="http://schemas.microsoft.com/office/drawing/2014/main" id="{4A0519D7-F581-A4F4-B05B-A53E16C5C0E2}"/>
                    </a:ext>
                  </a:extLst>
                </xdr:cNvPr>
                <xdr:cNvCxnSpPr/>
              </xdr:nvCxnSpPr>
              <xdr:spPr>
                <a:xfrm>
                  <a:off x="14456934" y="3227926"/>
                  <a:ext cx="0" cy="144000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29" name="Conector recto 128">
                  <a:extLst>
                    <a:ext uri="{FF2B5EF4-FFF2-40B4-BE49-F238E27FC236}">
                      <a16:creationId xmlns:a16="http://schemas.microsoft.com/office/drawing/2014/main" id="{5ED551A9-008F-06E3-698E-6E9F364CEE7E}"/>
                    </a:ext>
                  </a:extLst>
                </xdr:cNvPr>
                <xdr:cNvCxnSpPr/>
              </xdr:nvCxnSpPr>
              <xdr:spPr>
                <a:xfrm>
                  <a:off x="14485509" y="3227926"/>
                  <a:ext cx="0" cy="144000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115" name="Conector recto de flecha 114">
                <a:extLst>
                  <a:ext uri="{FF2B5EF4-FFF2-40B4-BE49-F238E27FC236}">
                    <a16:creationId xmlns:a16="http://schemas.microsoft.com/office/drawing/2014/main" id="{D13BED86-4DB7-2339-736A-AD993BC2F297}"/>
                  </a:ext>
                </a:extLst>
              </xdr:cNvPr>
              <xdr:cNvCxnSpPr>
                <a:cxnSpLocks/>
                <a:stCxn id="112" idx="6"/>
              </xdr:cNvCxnSpPr>
            </xdr:nvCxnSpPr>
            <xdr:spPr>
              <a:xfrm>
                <a:off x="34960020" y="17109269"/>
                <a:ext cx="1460970" cy="15713"/>
              </a:xfrm>
              <a:prstGeom prst="straightConnector1">
                <a:avLst/>
              </a:prstGeom>
              <a:ln w="57150" cap="flat" cmpd="sng" algn="ctr">
                <a:solidFill>
                  <a:schemeClr val="accent4"/>
                </a:solidFill>
                <a:prstDash val="dash"/>
                <a:round/>
                <a:headEnd type="none" w="med" len="med"/>
                <a:tailEnd type="triangl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16" name="Rectángulo 115">
                <a:extLst>
                  <a:ext uri="{FF2B5EF4-FFF2-40B4-BE49-F238E27FC236}">
                    <a16:creationId xmlns:a16="http://schemas.microsoft.com/office/drawing/2014/main" id="{631F62E3-F9CB-F5AE-027A-20D6B13C9A15}"/>
                  </a:ext>
                </a:extLst>
              </xdr:cNvPr>
              <xdr:cNvSpPr/>
            </xdr:nvSpPr>
            <xdr:spPr>
              <a:xfrm flipH="1">
                <a:off x="26330219" y="16224982"/>
                <a:ext cx="2880000" cy="1800000"/>
              </a:xfrm>
              <a:prstGeom prst="rect">
                <a:avLst/>
              </a:prstGeom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2400">
                    <a:latin typeface="Abadi" panose="020B0604020104020204" pitchFamily="34" charset="0"/>
                  </a:rPr>
                  <a:t>Steam</a:t>
                </a:r>
                <a:r>
                  <a:rPr lang="es-CO" sz="2400">
                    <a:latin typeface="Abadi" panose="020B0604020104020204" pitchFamily="34" charset="0"/>
                  </a:rPr>
                  <a:t> Boiler</a:t>
                </a:r>
              </a:p>
            </xdr:txBody>
          </xdr:sp>
          <xdr:grpSp>
            <xdr:nvGrpSpPr>
              <xdr:cNvPr id="117" name="Grupo 116">
                <a:extLst>
                  <a:ext uri="{FF2B5EF4-FFF2-40B4-BE49-F238E27FC236}">
                    <a16:creationId xmlns:a16="http://schemas.microsoft.com/office/drawing/2014/main" id="{2A9CF8F8-3BB8-C3DD-6388-B3BB53A091AE}"/>
                  </a:ext>
                </a:extLst>
              </xdr:cNvPr>
              <xdr:cNvGrpSpPr/>
            </xdr:nvGrpSpPr>
            <xdr:grpSpPr>
              <a:xfrm rot="5400000" flipH="1">
                <a:off x="25305794" y="17540561"/>
                <a:ext cx="360000" cy="360000"/>
                <a:chOff x="13885591" y="431257"/>
                <a:chExt cx="288000" cy="288000"/>
              </a:xfrm>
            </xdr:grpSpPr>
            <xdr:sp macro="" textlink="">
              <xdr:nvSpPr>
                <xdr:cNvPr id="126" name="Elipse 125">
                  <a:extLst>
                    <a:ext uri="{FF2B5EF4-FFF2-40B4-BE49-F238E27FC236}">
                      <a16:creationId xmlns:a16="http://schemas.microsoft.com/office/drawing/2014/main" id="{FE89AF02-31FE-02FF-5360-1CCC64E0BE7D}"/>
                    </a:ext>
                  </a:extLst>
                </xdr:cNvPr>
                <xdr:cNvSpPr/>
              </xdr:nvSpPr>
              <xdr:spPr>
                <a:xfrm>
                  <a:off x="13885591" y="431257"/>
                  <a:ext cx="288000" cy="288000"/>
                </a:xfrm>
                <a:prstGeom prst="ellipse">
                  <a:avLst/>
                </a:prstGeom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CO" sz="2400">
                    <a:latin typeface="Abadi" panose="020B0604020104020204" pitchFamily="34" charset="0"/>
                  </a:endParaRPr>
                </a:p>
              </xdr:txBody>
            </xdr:sp>
            <xdr:sp macro="" textlink="">
              <xdr:nvSpPr>
                <xdr:cNvPr id="127" name="Triángulo isósceles 126">
                  <a:extLst>
                    <a:ext uri="{FF2B5EF4-FFF2-40B4-BE49-F238E27FC236}">
                      <a16:creationId xmlns:a16="http://schemas.microsoft.com/office/drawing/2014/main" id="{AB81FFDB-D148-1FEE-238E-C1BA6AC37E7A}"/>
                    </a:ext>
                  </a:extLst>
                </xdr:cNvPr>
                <xdr:cNvSpPr/>
              </xdr:nvSpPr>
              <xdr:spPr>
                <a:xfrm>
                  <a:off x="13935597" y="449584"/>
                  <a:ext cx="190499" cy="218357"/>
                </a:xfrm>
                <a:prstGeom prst="triangle">
                  <a:avLst/>
                </a:prstGeom>
              </xdr:spPr>
              <xdr:style>
                <a:lnRef idx="2">
                  <a:schemeClr val="dk1">
                    <a:shade val="50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CO" sz="2400">
                    <a:latin typeface="Abadi" panose="020B0604020104020204" pitchFamily="34" charset="0"/>
                  </a:endParaRPr>
                </a:p>
              </xdr:txBody>
            </xdr:sp>
          </xdr:grpSp>
          <xdr:cxnSp macro="">
            <xdr:nvCxnSpPr>
              <xdr:cNvPr id="118" name="Conector recto de flecha 117">
                <a:extLst>
                  <a:ext uri="{FF2B5EF4-FFF2-40B4-BE49-F238E27FC236}">
                    <a16:creationId xmlns:a16="http://schemas.microsoft.com/office/drawing/2014/main" id="{E383B5E9-0FB3-867F-11F8-332EB9E7A19B}"/>
                  </a:ext>
                </a:extLst>
              </xdr:cNvPr>
              <xdr:cNvCxnSpPr>
                <a:cxnSpLocks/>
                <a:stCxn id="116" idx="2"/>
              </xdr:cNvCxnSpPr>
            </xdr:nvCxnSpPr>
            <xdr:spPr>
              <a:xfrm flipH="1">
                <a:off x="27764411" y="18024982"/>
                <a:ext cx="5808" cy="893425"/>
              </a:xfrm>
              <a:prstGeom prst="straightConnector1">
                <a:avLst/>
              </a:prstGeom>
              <a:ln w="57150">
                <a:tailEnd type="triangle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19" name="Conector recto de flecha 118">
                <a:extLst>
                  <a:ext uri="{FF2B5EF4-FFF2-40B4-BE49-F238E27FC236}">
                    <a16:creationId xmlns:a16="http://schemas.microsoft.com/office/drawing/2014/main" id="{806C4510-27D9-E7D2-0380-86C393F5D266}"/>
                  </a:ext>
                </a:extLst>
              </xdr:cNvPr>
              <xdr:cNvCxnSpPr>
                <a:cxnSpLocks/>
                <a:stCxn id="127" idx="0"/>
              </xdr:cNvCxnSpPr>
            </xdr:nvCxnSpPr>
            <xdr:spPr>
              <a:xfrm>
                <a:off x="25642885" y="17718992"/>
                <a:ext cx="685736" cy="0"/>
              </a:xfrm>
              <a:prstGeom prst="straightConnector1">
                <a:avLst/>
              </a:prstGeom>
              <a:ln w="28575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0" name="Conector: angular 119">
                <a:extLst>
                  <a:ext uri="{FF2B5EF4-FFF2-40B4-BE49-F238E27FC236}">
                    <a16:creationId xmlns:a16="http://schemas.microsoft.com/office/drawing/2014/main" id="{33E1B5DF-10FD-3FA6-F459-43D694C2A779}"/>
                  </a:ext>
                </a:extLst>
              </xdr:cNvPr>
              <xdr:cNvCxnSpPr>
                <a:cxnSpLocks/>
                <a:stCxn id="116" idx="0"/>
              </xdr:cNvCxnSpPr>
            </xdr:nvCxnSpPr>
            <xdr:spPr>
              <a:xfrm rot="16200000" flipH="1">
                <a:off x="29272529" y="14722672"/>
                <a:ext cx="347136" cy="3351756"/>
              </a:xfrm>
              <a:prstGeom prst="bentConnector4">
                <a:avLst>
                  <a:gd name="adj1" fmla="val -65853"/>
                  <a:gd name="adj2" fmla="val 71481"/>
                </a:avLst>
              </a:prstGeom>
              <a:ln w="57150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1" name="Diagrama de flujo: operación manual 120">
                <a:extLst>
                  <a:ext uri="{FF2B5EF4-FFF2-40B4-BE49-F238E27FC236}">
                    <a16:creationId xmlns:a16="http://schemas.microsoft.com/office/drawing/2014/main" id="{BFD82A9A-744A-8BE4-5819-914F82B8EBFD}"/>
                  </a:ext>
                </a:extLst>
              </xdr:cNvPr>
              <xdr:cNvSpPr/>
            </xdr:nvSpPr>
            <xdr:spPr>
              <a:xfrm rot="10800000">
                <a:off x="24648187" y="14841807"/>
                <a:ext cx="540000" cy="1440000"/>
              </a:xfrm>
              <a:prstGeom prst="flowChartManualOperation">
                <a:avLst/>
              </a:prstGeom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CO" sz="2400"/>
              </a:p>
            </xdr:txBody>
          </xdr:sp>
          <xdr:cxnSp macro="">
            <xdr:nvCxnSpPr>
              <xdr:cNvPr id="122" name="Conector: angular 121">
                <a:extLst>
                  <a:ext uri="{FF2B5EF4-FFF2-40B4-BE49-F238E27FC236}">
                    <a16:creationId xmlns:a16="http://schemas.microsoft.com/office/drawing/2014/main" id="{1D28C3B1-A4D3-0551-886C-EA8707B4D2DD}"/>
                  </a:ext>
                </a:extLst>
              </xdr:cNvPr>
              <xdr:cNvCxnSpPr>
                <a:cxnSpLocks/>
                <a:stCxn id="116" idx="3"/>
                <a:endCxn id="121" idx="0"/>
              </xdr:cNvCxnSpPr>
            </xdr:nvCxnSpPr>
            <xdr:spPr>
              <a:xfrm rot="10800000">
                <a:off x="24918187" y="16281808"/>
                <a:ext cx="1412032" cy="843175"/>
              </a:xfrm>
              <a:prstGeom prst="bentConnector2">
                <a:avLst/>
              </a:prstGeom>
              <a:ln w="57150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3" name="Conector: angular 122">
                <a:extLst>
                  <a:ext uri="{FF2B5EF4-FFF2-40B4-BE49-F238E27FC236}">
                    <a16:creationId xmlns:a16="http://schemas.microsoft.com/office/drawing/2014/main" id="{DE2B66E0-20A4-4A40-1521-077B390BE228}"/>
                  </a:ext>
                </a:extLst>
              </xdr:cNvPr>
              <xdr:cNvCxnSpPr>
                <a:cxnSpLocks/>
                <a:endCxn id="130" idx="3"/>
              </xdr:cNvCxnSpPr>
            </xdr:nvCxnSpPr>
            <xdr:spPr>
              <a:xfrm>
                <a:off x="31788624" y="17850546"/>
                <a:ext cx="1714570" cy="1067861"/>
              </a:xfrm>
              <a:prstGeom prst="bentConnector3">
                <a:avLst>
                  <a:gd name="adj1" fmla="val 50000"/>
                </a:avLst>
              </a:prstGeom>
              <a:ln w="57150">
                <a:solidFill>
                  <a:schemeClr val="tx1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4" name="Conector recto de flecha 123">
                <a:extLst>
                  <a:ext uri="{FF2B5EF4-FFF2-40B4-BE49-F238E27FC236}">
                    <a16:creationId xmlns:a16="http://schemas.microsoft.com/office/drawing/2014/main" id="{9397CDD5-2007-A5EC-A67F-6507D0FF590B}"/>
                  </a:ext>
                </a:extLst>
              </xdr:cNvPr>
              <xdr:cNvCxnSpPr>
                <a:cxnSpLocks/>
                <a:stCxn id="111" idx="2"/>
                <a:endCxn id="112" idx="2"/>
              </xdr:cNvCxnSpPr>
            </xdr:nvCxnSpPr>
            <xdr:spPr>
              <a:xfrm>
                <a:off x="32120273" y="17104754"/>
                <a:ext cx="1853412" cy="4515"/>
              </a:xfrm>
              <a:prstGeom prst="straightConnector1">
                <a:avLst/>
              </a:prstGeom>
              <a:ln>
                <a:headEnd type="none" w="med" len="med"/>
                <a:tailEnd type="triangle" w="med" len="med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5" name="Conector: angular 124">
                <a:extLst>
                  <a:ext uri="{FF2B5EF4-FFF2-40B4-BE49-F238E27FC236}">
                    <a16:creationId xmlns:a16="http://schemas.microsoft.com/office/drawing/2014/main" id="{1EE1D3EB-93D8-496E-A614-E9BD7E5851FA}"/>
                  </a:ext>
                </a:extLst>
              </xdr:cNvPr>
              <xdr:cNvCxnSpPr>
                <a:cxnSpLocks/>
                <a:stCxn id="142" idx="0"/>
                <a:endCxn id="126" idx="4"/>
              </xdr:cNvCxnSpPr>
            </xdr:nvCxnSpPr>
            <xdr:spPr>
              <a:xfrm rot="5400000" flipH="1" flipV="1">
                <a:off x="22544959" y="19951491"/>
                <a:ext cx="4991765" cy="529906"/>
              </a:xfrm>
              <a:prstGeom prst="bentConnector2">
                <a:avLst/>
              </a:prstGeom>
              <a:ln w="57150">
                <a:solidFill>
                  <a:srgbClr val="00B0F0"/>
                </a:solidFill>
                <a:prstDash val="sysDash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100" name="Grupo 99">
              <a:extLst>
                <a:ext uri="{FF2B5EF4-FFF2-40B4-BE49-F238E27FC236}">
                  <a16:creationId xmlns:a16="http://schemas.microsoft.com/office/drawing/2014/main" id="{ACF17870-D56E-F60C-E380-8C5A76E349FB}"/>
                </a:ext>
              </a:extLst>
            </xdr:cNvPr>
            <xdr:cNvGrpSpPr/>
          </xdr:nvGrpSpPr>
          <xdr:grpSpPr>
            <a:xfrm>
              <a:off x="23481524" y="12156832"/>
              <a:ext cx="14418697" cy="7257267"/>
              <a:chOff x="23481524" y="12156832"/>
              <a:chExt cx="14418697" cy="7257267"/>
            </a:xfrm>
          </xdr:grpSpPr>
          <xdr:cxnSp macro="">
            <xdr:nvCxnSpPr>
              <xdr:cNvPr id="101" name="Conector recto de flecha 100">
                <a:extLst>
                  <a:ext uri="{FF2B5EF4-FFF2-40B4-BE49-F238E27FC236}">
                    <a16:creationId xmlns:a16="http://schemas.microsoft.com/office/drawing/2014/main" id="{B02A4B84-D721-C07F-90C2-22CBE68D263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35452903" y="14489075"/>
                <a:ext cx="0" cy="900001"/>
              </a:xfrm>
              <a:prstGeom prst="straightConnector1">
                <a:avLst/>
              </a:prstGeom>
              <a:ln w="57150" cap="flat" cmpd="sng" algn="ctr">
                <a:solidFill>
                  <a:schemeClr val="accent4"/>
                </a:solidFill>
                <a:prstDash val="dash"/>
                <a:round/>
                <a:headEnd type="none" w="med" len="med"/>
                <a:tailEnd type="triangl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mc:AlternateContent xmlns:mc="http://schemas.openxmlformats.org/markup-compatibility/2006" xmlns:a14="http://schemas.microsoft.com/office/drawing/2010/main">
            <mc:Choice Requires="a14">
              <xdr:sp macro="" textlink="">
                <xdr:nvSpPr>
                  <xdr:cNvPr id="102" name="CuadroTexto 62">
                    <a:extLst>
                      <a:ext uri="{FF2B5EF4-FFF2-40B4-BE49-F238E27FC236}">
                        <a16:creationId xmlns:a16="http://schemas.microsoft.com/office/drawing/2014/main" id="{33E79156-F38E-A199-DE84-368EC9B42ABE}"/>
                      </a:ext>
                    </a:extLst>
                  </xdr:cNvPr>
                  <xdr:cNvSpPr txBox="1"/>
                </xdr:nvSpPr>
                <xdr:spPr>
                  <a:xfrm>
                    <a:off x="34665758" y="13998141"/>
                    <a:ext cx="1479711" cy="515716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noAutofit/>
                  </a:bodyPr>
                  <a:lstStyle>
                    <a:defPPr>
                      <a:defRPr lang="en-U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/>
                    <a14:m>
                      <m:oMathPara xmlns:m="http://schemas.openxmlformats.org/officeDocument/2006/math">
                        <m:oMathParaPr>
                          <m:jc m:val="centerGroup"/>
                        </m:oMathParaPr>
                        <m:oMath xmlns:m="http://schemas.openxmlformats.org/officeDocument/2006/math">
                          <m:sSub>
                            <m:sSubPr>
                              <m:ctrlPr>
                                <a:rPr lang="en-US" sz="2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acc>
                                <m:accPr>
                                  <m:chr m:val="̇"/>
                                  <m:ctrlPr>
                                    <a:rPr lang="en-US" sz="2400" i="1">
                                      <a:latin typeface="Cambria Math" panose="02040503050406030204" pitchFamily="18" charset="0"/>
                                    </a:rPr>
                                  </m:ctrlPr>
                                </m:accPr>
                                <m:e>
                                  <m:r>
                                    <a:rPr lang="es-CO" sz="2400" i="1">
                                      <a:latin typeface="Cambria Math" panose="02040503050406030204" pitchFamily="18" charset="0"/>
                                    </a:rPr>
                                    <m:t>𝑊</m:t>
                                  </m:r>
                                </m:e>
                              </m:acc>
                            </m:e>
                            <m:sub>
                              <m:r>
                                <a:rPr lang="es-CO" sz="2400" i="1">
                                  <a:latin typeface="Cambria Math" panose="02040503050406030204" pitchFamily="18" charset="0"/>
                                </a:rPr>
                                <m:t>𝑎𝑢𝑥</m:t>
                              </m:r>
                            </m:sub>
                          </m:sSub>
                        </m:oMath>
                      </m:oMathPara>
                    </a14:m>
                    <a:endParaRPr lang="en-US" sz="2400">
                      <a:latin typeface="Abadi" panose="020B0604020104020204" pitchFamily="34" charset="0"/>
                    </a:endParaRPr>
                  </a:p>
                </xdr:txBody>
              </xdr:sp>
            </mc:Choice>
            <mc:Fallback xmlns="">
              <xdr:sp macro="" textlink="">
                <xdr:nvSpPr>
                  <xdr:cNvPr id="102" name="CuadroTexto 62">
                    <a:extLst>
                      <a:ext uri="{FF2B5EF4-FFF2-40B4-BE49-F238E27FC236}">
                        <a16:creationId xmlns:a16="http://schemas.microsoft.com/office/drawing/2014/main" id="{33E79156-F38E-A199-DE84-368EC9B42ABE}"/>
                      </a:ext>
                    </a:extLst>
                  </xdr:cNvPr>
                  <xdr:cNvSpPr txBox="1"/>
                </xdr:nvSpPr>
                <xdr:spPr>
                  <a:xfrm>
                    <a:off x="34665758" y="13998141"/>
                    <a:ext cx="1479711" cy="515716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noAutofit/>
                  </a:bodyPr>
                  <a:lstStyle>
                    <a:defPPr>
                      <a:defRPr lang="en-U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/>
                    <a:r>
                      <a:rPr lang="es-CO" sz="2400" i="0">
                        <a:latin typeface="Cambria Math" panose="02040503050406030204" pitchFamily="18" charset="0"/>
                      </a:rPr>
                      <a:t>𝑊</a:t>
                    </a:r>
                    <a:r>
                      <a:rPr lang="en-US" sz="2400" i="0">
                        <a:latin typeface="Cambria Math" panose="02040503050406030204" pitchFamily="18" charset="0"/>
                      </a:rPr>
                      <a:t> ̇_</a:t>
                    </a:r>
                    <a:r>
                      <a:rPr lang="es-CO" sz="2400" i="0">
                        <a:latin typeface="Cambria Math" panose="02040503050406030204" pitchFamily="18" charset="0"/>
                      </a:rPr>
                      <a:t>𝑎𝑢𝑥</a:t>
                    </a:r>
                    <a:endParaRPr lang="en-US" sz="2400">
                      <a:latin typeface="Abadi" panose="020B0604020104020204" pitchFamily="34" charset="0"/>
                    </a:endParaRPr>
                  </a:p>
                </xdr:txBody>
              </xdr:sp>
            </mc:Fallback>
          </mc:AlternateContent>
          <mc:AlternateContent xmlns:mc="http://schemas.openxmlformats.org/markup-compatibility/2006" xmlns:a14="http://schemas.microsoft.com/office/drawing/2010/main">
            <mc:Choice Requires="a14">
              <xdr:sp macro="" textlink="">
                <xdr:nvSpPr>
                  <xdr:cNvPr id="103" name="CuadroTexto 109">
                    <a:extLst>
                      <a:ext uri="{FF2B5EF4-FFF2-40B4-BE49-F238E27FC236}">
                        <a16:creationId xmlns:a16="http://schemas.microsoft.com/office/drawing/2014/main" id="{B0B11D3D-9942-6A11-7C7A-1CFC7AD7B856}"/>
                      </a:ext>
                    </a:extLst>
                  </xdr:cNvPr>
                  <xdr:cNvSpPr txBox="1"/>
                </xdr:nvSpPr>
                <xdr:spPr>
                  <a:xfrm flipH="1">
                    <a:off x="26470043" y="17252690"/>
                    <a:ext cx="2096334" cy="461665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en-U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/>
                    <a14:m>
                      <m:oMathPara xmlns:m="http://schemas.openxmlformats.org/officeDocument/2006/math">
                        <m:oMathParaPr>
                          <m:jc m:val="centerGroup"/>
                        </m:oMathParaPr>
                        <m:oMath xmlns:m="http://schemas.openxmlformats.org/officeDocument/2006/math">
                          <m:r>
                            <a:rPr lang="es-CO" sz="2400" b="0" i="1">
                              <a:latin typeface="Cambria Math" panose="02040503050406030204" pitchFamily="18" charset="0"/>
                            </a:rPr>
                            <m:t>𝐶𝑒𝑛𝑖𝑧𝑎𝑠</m:t>
                          </m:r>
                        </m:oMath>
                      </m:oMathPara>
                    </a14:m>
                    <a:endParaRPr lang="en-US" sz="2400">
                      <a:latin typeface="Abadi" panose="020B0604020104020204" pitchFamily="34" charset="0"/>
                    </a:endParaRPr>
                  </a:p>
                </xdr:txBody>
              </xdr:sp>
            </mc:Choice>
            <mc:Fallback xmlns="">
              <xdr:sp macro="" textlink="">
                <xdr:nvSpPr>
                  <xdr:cNvPr id="103" name="CuadroTexto 109">
                    <a:extLst>
                      <a:ext uri="{FF2B5EF4-FFF2-40B4-BE49-F238E27FC236}">
                        <a16:creationId xmlns:a16="http://schemas.microsoft.com/office/drawing/2014/main" id="{B0B11D3D-9942-6A11-7C7A-1CFC7AD7B856}"/>
                      </a:ext>
                    </a:extLst>
                  </xdr:cNvPr>
                  <xdr:cNvSpPr txBox="1"/>
                </xdr:nvSpPr>
                <xdr:spPr>
                  <a:xfrm flipH="1">
                    <a:off x="26470043" y="17252690"/>
                    <a:ext cx="2096334" cy="461665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en-U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/>
                    <a:r>
                      <a:rPr lang="es-CO" sz="2400" b="0" i="0">
                        <a:latin typeface="Cambria Math" panose="02040503050406030204" pitchFamily="18" charset="0"/>
                      </a:rPr>
                      <a:t>𝐶𝑒𝑛𝑖𝑧𝑎𝑠</a:t>
                    </a:r>
                    <a:endParaRPr lang="en-US" sz="2400">
                      <a:latin typeface="Abadi" panose="020B0604020104020204" pitchFamily="34" charset="0"/>
                    </a:endParaRPr>
                  </a:p>
                </xdr:txBody>
              </xdr:sp>
            </mc:Fallback>
          </mc:AlternateContent>
          <mc:AlternateContent xmlns:mc="http://schemas.openxmlformats.org/markup-compatibility/2006" xmlns:a14="http://schemas.microsoft.com/office/drawing/2010/main">
            <mc:Choice Requires="a14">
              <xdr:sp macro="" textlink="">
                <xdr:nvSpPr>
                  <xdr:cNvPr id="104" name="CuadroTexto 49">
                    <a:extLst>
                      <a:ext uri="{FF2B5EF4-FFF2-40B4-BE49-F238E27FC236}">
                        <a16:creationId xmlns:a16="http://schemas.microsoft.com/office/drawing/2014/main" id="{ECC6D7F9-ED7C-56B6-5E24-09C5C0DE7D2F}"/>
                      </a:ext>
                    </a:extLst>
                  </xdr:cNvPr>
                  <xdr:cNvSpPr txBox="1"/>
                </xdr:nvSpPr>
                <xdr:spPr>
                  <a:xfrm flipH="1">
                    <a:off x="30640298" y="18404916"/>
                    <a:ext cx="733656" cy="576192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noAutofit/>
                  </a:bodyPr>
                  <a:lstStyle>
                    <a:defPPr>
                      <a:defRPr lang="en-U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/>
                    <a14:m>
                      <m:oMathPara xmlns:m="http://schemas.openxmlformats.org/officeDocument/2006/math">
                        <m:oMathParaPr>
                          <m:jc m:val="centerGroup"/>
                        </m:oMathParaPr>
                        <m:oMath xmlns:m="http://schemas.openxmlformats.org/officeDocument/2006/math">
                          <m:sSub>
                            <m:sSubPr>
                              <m:ctrlPr>
                                <a:rPr lang="en-US" sz="2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acc>
                                <m:accPr>
                                  <m:chr m:val="̇"/>
                                  <m:ctrlPr>
                                    <a:rPr lang="en-US" sz="2400" i="1">
                                      <a:latin typeface="Cambria Math" panose="02040503050406030204" pitchFamily="18" charset="0"/>
                                    </a:rPr>
                                  </m:ctrlPr>
                                </m:accPr>
                                <m:e>
                                  <m:r>
                                    <a:rPr lang="es-CO" sz="2400" i="1">
                                      <a:latin typeface="Cambria Math" panose="02040503050406030204" pitchFamily="18" charset="0"/>
                                    </a:rPr>
                                    <m:t>𝑄</m:t>
                                  </m:r>
                                </m:e>
                              </m:acc>
                            </m:e>
                            <m:sub>
                              <m:r>
                                <a:rPr lang="es-CO" sz="2400" b="0" i="1">
                                  <a:latin typeface="Cambria Math" panose="02040503050406030204" pitchFamily="18" charset="0"/>
                                </a:rPr>
                                <m:t>𝑜𝑢𝑡</m:t>
                              </m:r>
                            </m:sub>
                          </m:sSub>
                        </m:oMath>
                      </m:oMathPara>
                    </a14:m>
                    <a:endParaRPr lang="en-US" sz="2400">
                      <a:latin typeface="Abadi" panose="020B0604020104020204" pitchFamily="34" charset="0"/>
                    </a:endParaRPr>
                  </a:p>
                </xdr:txBody>
              </xdr:sp>
            </mc:Choice>
            <mc:Fallback xmlns="">
              <xdr:sp macro="" textlink="">
                <xdr:nvSpPr>
                  <xdr:cNvPr id="104" name="CuadroTexto 49">
                    <a:extLst>
                      <a:ext uri="{FF2B5EF4-FFF2-40B4-BE49-F238E27FC236}">
                        <a16:creationId xmlns:a16="http://schemas.microsoft.com/office/drawing/2014/main" id="{ECC6D7F9-ED7C-56B6-5E24-09C5C0DE7D2F}"/>
                      </a:ext>
                    </a:extLst>
                  </xdr:cNvPr>
                  <xdr:cNvSpPr txBox="1"/>
                </xdr:nvSpPr>
                <xdr:spPr>
                  <a:xfrm flipH="1">
                    <a:off x="30640298" y="18404916"/>
                    <a:ext cx="733656" cy="576192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noAutofit/>
                  </a:bodyPr>
                  <a:lstStyle>
                    <a:defPPr>
                      <a:defRPr lang="en-U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/>
                    <a:r>
                      <a:rPr lang="es-CO" sz="2400" i="0">
                        <a:latin typeface="Cambria Math" panose="02040503050406030204" pitchFamily="18" charset="0"/>
                      </a:rPr>
                      <a:t>𝑄</a:t>
                    </a:r>
                    <a:r>
                      <a:rPr lang="en-US" sz="2400" i="0">
                        <a:latin typeface="Cambria Math" panose="02040503050406030204" pitchFamily="18" charset="0"/>
                      </a:rPr>
                      <a:t> ̇_</a:t>
                    </a:r>
                    <a:r>
                      <a:rPr lang="es-CO" sz="2400" b="0" i="0">
                        <a:latin typeface="Cambria Math" panose="02040503050406030204" pitchFamily="18" charset="0"/>
                      </a:rPr>
                      <a:t>𝑜𝑢𝑡</a:t>
                    </a:r>
                    <a:endParaRPr lang="en-US" sz="2400">
                      <a:latin typeface="Abadi" panose="020B0604020104020204" pitchFamily="34" charset="0"/>
                    </a:endParaRPr>
                  </a:p>
                </xdr:txBody>
              </xdr:sp>
            </mc:Fallback>
          </mc:AlternateContent>
          <xdr:cxnSp macro="">
            <xdr:nvCxnSpPr>
              <xdr:cNvPr id="105" name="Conector recto de flecha 104">
                <a:extLst>
                  <a:ext uri="{FF2B5EF4-FFF2-40B4-BE49-F238E27FC236}">
                    <a16:creationId xmlns:a16="http://schemas.microsoft.com/office/drawing/2014/main" id="{C19DB710-0D44-9E07-8F20-C439F0E7BBE4}"/>
                  </a:ext>
                </a:extLst>
              </xdr:cNvPr>
              <xdr:cNvCxnSpPr>
                <a:cxnSpLocks/>
                <a:stCxn id="130" idx="1"/>
              </xdr:cNvCxnSpPr>
            </xdr:nvCxnSpPr>
            <xdr:spPr>
              <a:xfrm>
                <a:off x="33832232" y="17182501"/>
                <a:ext cx="2377796" cy="0"/>
              </a:xfrm>
              <a:prstGeom prst="straightConnector1">
                <a:avLst/>
              </a:prstGeom>
              <a:ln w="57150">
                <a:solidFill>
                  <a:srgbClr val="00B050"/>
                </a:solidFill>
                <a:prstDash val="sys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06" name="CuadroTexto 50">
                <a:extLst>
                  <a:ext uri="{FF2B5EF4-FFF2-40B4-BE49-F238E27FC236}">
                    <a16:creationId xmlns:a16="http://schemas.microsoft.com/office/drawing/2014/main" id="{A6061723-3799-3D9E-86B2-CD81790D6B05}"/>
                  </a:ext>
                </a:extLst>
              </xdr:cNvPr>
              <xdr:cNvSpPr txBox="1"/>
            </xdr:nvSpPr>
            <xdr:spPr>
              <a:xfrm flipH="1">
                <a:off x="36427323" y="16903391"/>
                <a:ext cx="1282817" cy="562852"/>
              </a:xfrm>
              <a:prstGeom prst="rect">
                <a:avLst/>
              </a:prstGeom>
              <a:noFill/>
            </xdr:spPr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2400">
                    <a:latin typeface="Abadi" panose="020B0604020104020204" pitchFamily="34" charset="0"/>
                  </a:rPr>
                  <a:t>A </a:t>
                </a:r>
                <a:r>
                  <a:rPr lang="es-CO" sz="2400">
                    <a:latin typeface="Abadi" panose="020B0604020104020204" pitchFamily="34" charset="0"/>
                  </a:rPr>
                  <a:t>Proceso</a:t>
                </a:r>
                <a:endParaRPr lang="es-CO" sz="2400" baseline="-25000">
                  <a:latin typeface="Abadi" panose="020B0604020104020204" pitchFamily="34" charset="0"/>
                </a:endParaRPr>
              </a:p>
            </xdr:txBody>
          </xdr:sp>
          <xdr:sp macro="" textlink="">
            <xdr:nvSpPr>
              <xdr:cNvPr id="107" name="Rectángulo 106">
                <a:extLst>
                  <a:ext uri="{FF2B5EF4-FFF2-40B4-BE49-F238E27FC236}">
                    <a16:creationId xmlns:a16="http://schemas.microsoft.com/office/drawing/2014/main" id="{E00AAD15-B8BC-8BC3-82BF-A03ACC545A83}"/>
                  </a:ext>
                </a:extLst>
              </xdr:cNvPr>
              <xdr:cNvSpPr/>
            </xdr:nvSpPr>
            <xdr:spPr>
              <a:xfrm>
                <a:off x="23481524" y="12156832"/>
                <a:ext cx="14418697" cy="7257267"/>
              </a:xfrm>
              <a:prstGeom prst="rect">
                <a:avLst/>
              </a:prstGeom>
              <a:noFill/>
              <a:ln w="57150">
                <a:solidFill>
                  <a:srgbClr val="C00000"/>
                </a:solidFill>
                <a:prstDash val="lgDashDotDot"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CO"/>
              </a:p>
            </xdr:txBody>
          </xdr:sp>
        </xdr:grpSp>
      </xdr:grpSp>
      <xdr:sp macro="" textlink="">
        <xdr:nvSpPr>
          <xdr:cNvPr id="83" name="Rectángulo 82">
            <a:extLst>
              <a:ext uri="{FF2B5EF4-FFF2-40B4-BE49-F238E27FC236}">
                <a16:creationId xmlns:a16="http://schemas.microsoft.com/office/drawing/2014/main" id="{FDD51AEE-90AE-4EF0-0FCC-0C98D0558048}"/>
              </a:ext>
            </a:extLst>
          </xdr:cNvPr>
          <xdr:cNvSpPr/>
        </xdr:nvSpPr>
        <xdr:spPr>
          <a:xfrm>
            <a:off x="23100494" y="20378982"/>
            <a:ext cx="18345082" cy="3533312"/>
          </a:xfrm>
          <a:prstGeom prst="rect">
            <a:avLst/>
          </a:prstGeom>
          <a:noFill/>
          <a:ln w="57150">
            <a:solidFill>
              <a:srgbClr val="C00000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/>
          </a:p>
        </xdr:txBody>
      </xdr:sp>
      <xdr:sp macro="" textlink="">
        <xdr:nvSpPr>
          <xdr:cNvPr id="84" name="Rectángulo 83">
            <a:extLst>
              <a:ext uri="{FF2B5EF4-FFF2-40B4-BE49-F238E27FC236}">
                <a16:creationId xmlns:a16="http://schemas.microsoft.com/office/drawing/2014/main" id="{8C76D018-1323-415C-18F2-32B4B83C41E5}"/>
              </a:ext>
            </a:extLst>
          </xdr:cNvPr>
          <xdr:cNvSpPr/>
        </xdr:nvSpPr>
        <xdr:spPr>
          <a:xfrm>
            <a:off x="3796356" y="11470177"/>
            <a:ext cx="19137400" cy="9409800"/>
          </a:xfrm>
          <a:prstGeom prst="rect">
            <a:avLst/>
          </a:prstGeom>
          <a:noFill/>
          <a:ln w="57150">
            <a:solidFill>
              <a:srgbClr val="C00000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/>
          </a:p>
        </xdr:txBody>
      </xdr:sp>
      <xdr:cxnSp macro="">
        <xdr:nvCxnSpPr>
          <xdr:cNvPr id="85" name="Conector: angular 84">
            <a:extLst>
              <a:ext uri="{FF2B5EF4-FFF2-40B4-BE49-F238E27FC236}">
                <a16:creationId xmlns:a16="http://schemas.microsoft.com/office/drawing/2014/main" id="{9F4D1FBA-87D6-8494-AB7D-D712B303FBFE}"/>
              </a:ext>
            </a:extLst>
          </xdr:cNvPr>
          <xdr:cNvCxnSpPr>
            <a:cxnSpLocks/>
            <a:stCxn id="47" idx="4"/>
          </xdr:cNvCxnSpPr>
        </xdr:nvCxnSpPr>
        <xdr:spPr>
          <a:xfrm rot="16200000" flipH="1">
            <a:off x="26307499" y="10882197"/>
            <a:ext cx="4169036" cy="3840800"/>
          </a:xfrm>
          <a:prstGeom prst="bentConnector3">
            <a:avLst>
              <a:gd name="adj1" fmla="val 50000"/>
            </a:avLst>
          </a:prstGeom>
          <a:ln w="571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6" name="Rectángulo: esquinas redondeadas 85">
            <a:extLst>
              <a:ext uri="{FF2B5EF4-FFF2-40B4-BE49-F238E27FC236}">
                <a16:creationId xmlns:a16="http://schemas.microsoft.com/office/drawing/2014/main" id="{A05293A3-2973-A331-7A74-B1E4F200B82E}"/>
              </a:ext>
            </a:extLst>
          </xdr:cNvPr>
          <xdr:cNvSpPr/>
        </xdr:nvSpPr>
        <xdr:spPr>
          <a:xfrm>
            <a:off x="857187" y="2358741"/>
            <a:ext cx="2160000" cy="540000"/>
          </a:xfrm>
          <a:prstGeom prst="round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/>
              <a:t>Gasolina</a:t>
            </a:r>
          </a:p>
        </xdr:txBody>
      </xdr:sp>
      <xdr:sp macro="" textlink="">
        <xdr:nvSpPr>
          <xdr:cNvPr id="87" name="Rectángulo: esquinas redondeadas 86">
            <a:extLst>
              <a:ext uri="{FF2B5EF4-FFF2-40B4-BE49-F238E27FC236}">
                <a16:creationId xmlns:a16="http://schemas.microsoft.com/office/drawing/2014/main" id="{00EC164D-0432-A91C-D2A2-042BA264A40C}"/>
              </a:ext>
            </a:extLst>
          </xdr:cNvPr>
          <xdr:cNvSpPr/>
        </xdr:nvSpPr>
        <xdr:spPr>
          <a:xfrm>
            <a:off x="861248" y="1500818"/>
            <a:ext cx="2160000" cy="540000"/>
          </a:xfrm>
          <a:prstGeom prst="round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/>
              <a:t>Diesel</a:t>
            </a:r>
          </a:p>
        </xdr:txBody>
      </xdr:sp>
      <xdr:sp macro="" textlink="">
        <xdr:nvSpPr>
          <xdr:cNvPr id="88" name="Rectángulo: esquinas redondeadas 87">
            <a:extLst>
              <a:ext uri="{FF2B5EF4-FFF2-40B4-BE49-F238E27FC236}">
                <a16:creationId xmlns:a16="http://schemas.microsoft.com/office/drawing/2014/main" id="{D1F04ED0-8620-FB41-5FA6-E06073B1F663}"/>
              </a:ext>
            </a:extLst>
          </xdr:cNvPr>
          <xdr:cNvSpPr/>
        </xdr:nvSpPr>
        <xdr:spPr>
          <a:xfrm>
            <a:off x="878145" y="3258546"/>
            <a:ext cx="2160000" cy="540000"/>
          </a:xfrm>
          <a:prstGeom prst="round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/>
              <a:t>Lubricantes</a:t>
            </a:r>
          </a:p>
        </xdr:txBody>
      </xdr:sp>
      <xdr:sp macro="" textlink="">
        <xdr:nvSpPr>
          <xdr:cNvPr id="89" name="Rectángulo: esquinas redondeadas 88">
            <a:extLst>
              <a:ext uri="{FF2B5EF4-FFF2-40B4-BE49-F238E27FC236}">
                <a16:creationId xmlns:a16="http://schemas.microsoft.com/office/drawing/2014/main" id="{163D3B25-08E7-C901-6A34-E49552C1102C}"/>
              </a:ext>
            </a:extLst>
          </xdr:cNvPr>
          <xdr:cNvSpPr/>
        </xdr:nvSpPr>
        <xdr:spPr>
          <a:xfrm>
            <a:off x="857187" y="5244459"/>
            <a:ext cx="2160000" cy="540000"/>
          </a:xfrm>
          <a:prstGeom prst="round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/>
              <a:t>Fertilizantes</a:t>
            </a:r>
          </a:p>
        </xdr:txBody>
      </xdr:sp>
      <xdr:sp macro="" textlink="">
        <xdr:nvSpPr>
          <xdr:cNvPr id="90" name="Rectángulo: esquinas redondeadas 89">
            <a:extLst>
              <a:ext uri="{FF2B5EF4-FFF2-40B4-BE49-F238E27FC236}">
                <a16:creationId xmlns:a16="http://schemas.microsoft.com/office/drawing/2014/main" id="{EFAB6FF0-90D4-D561-C7ED-160F3634FE37}"/>
              </a:ext>
            </a:extLst>
          </xdr:cNvPr>
          <xdr:cNvSpPr/>
        </xdr:nvSpPr>
        <xdr:spPr>
          <a:xfrm>
            <a:off x="861248" y="4367486"/>
            <a:ext cx="2160000" cy="540000"/>
          </a:xfrm>
          <a:prstGeom prst="round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/>
              <a:t>Pesticidas</a:t>
            </a:r>
          </a:p>
        </xdr:txBody>
      </xdr:sp>
      <xdr:sp macro="" textlink="">
        <xdr:nvSpPr>
          <xdr:cNvPr id="91" name="Rectángulo: esquinas redondeadas 90">
            <a:extLst>
              <a:ext uri="{FF2B5EF4-FFF2-40B4-BE49-F238E27FC236}">
                <a16:creationId xmlns:a16="http://schemas.microsoft.com/office/drawing/2014/main" id="{41A5D1BA-6AE5-0AF1-B0C4-1AE2DA9EBA76}"/>
              </a:ext>
            </a:extLst>
          </xdr:cNvPr>
          <xdr:cNvSpPr/>
        </xdr:nvSpPr>
        <xdr:spPr>
          <a:xfrm>
            <a:off x="878145" y="6125214"/>
            <a:ext cx="2160000" cy="540000"/>
          </a:xfrm>
          <a:prstGeom prst="round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/>
              <a:t>Herbicidas</a:t>
            </a:r>
          </a:p>
        </xdr:txBody>
      </xdr:sp>
      <xdr:cxnSp macro="">
        <xdr:nvCxnSpPr>
          <xdr:cNvPr id="92" name="Conector: angular 91">
            <a:extLst>
              <a:ext uri="{FF2B5EF4-FFF2-40B4-BE49-F238E27FC236}">
                <a16:creationId xmlns:a16="http://schemas.microsoft.com/office/drawing/2014/main" id="{DED4067A-4CDF-6669-1D50-E320F73CC564}"/>
              </a:ext>
            </a:extLst>
          </xdr:cNvPr>
          <xdr:cNvCxnSpPr>
            <a:cxnSpLocks/>
            <a:stCxn id="91" idx="3"/>
            <a:endCxn id="35" idx="4"/>
          </xdr:cNvCxnSpPr>
        </xdr:nvCxnSpPr>
        <xdr:spPr>
          <a:xfrm flipV="1">
            <a:off x="3038145" y="5661352"/>
            <a:ext cx="759536" cy="733862"/>
          </a:xfrm>
          <a:prstGeom prst="bentConnector2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Conector: angular 92">
            <a:extLst>
              <a:ext uri="{FF2B5EF4-FFF2-40B4-BE49-F238E27FC236}">
                <a16:creationId xmlns:a16="http://schemas.microsoft.com/office/drawing/2014/main" id="{BE8A875A-0DC2-FA8C-00D1-9972FFBB2D81}"/>
              </a:ext>
            </a:extLst>
          </xdr:cNvPr>
          <xdr:cNvCxnSpPr>
            <a:cxnSpLocks/>
            <a:stCxn id="90" idx="3"/>
            <a:endCxn id="35" idx="0"/>
          </xdr:cNvCxnSpPr>
        </xdr:nvCxnSpPr>
        <xdr:spPr>
          <a:xfrm>
            <a:off x="3021248" y="4637486"/>
            <a:ext cx="776433" cy="735866"/>
          </a:xfrm>
          <a:prstGeom prst="bentConnector2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Conector: angular 93">
            <a:extLst>
              <a:ext uri="{FF2B5EF4-FFF2-40B4-BE49-F238E27FC236}">
                <a16:creationId xmlns:a16="http://schemas.microsoft.com/office/drawing/2014/main" id="{B76B5169-F674-AE81-8308-B40431F828F5}"/>
              </a:ext>
            </a:extLst>
          </xdr:cNvPr>
          <xdr:cNvCxnSpPr>
            <a:cxnSpLocks/>
            <a:stCxn id="87" idx="3"/>
            <a:endCxn id="34" idx="0"/>
          </xdr:cNvCxnSpPr>
        </xdr:nvCxnSpPr>
        <xdr:spPr>
          <a:xfrm>
            <a:off x="3021248" y="1770818"/>
            <a:ext cx="776433" cy="717865"/>
          </a:xfrm>
          <a:prstGeom prst="bentConnector2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Conector: angular 94">
            <a:extLst>
              <a:ext uri="{FF2B5EF4-FFF2-40B4-BE49-F238E27FC236}">
                <a16:creationId xmlns:a16="http://schemas.microsoft.com/office/drawing/2014/main" id="{D38F9A4C-E8E9-F102-706D-92648A247BE9}"/>
              </a:ext>
            </a:extLst>
          </xdr:cNvPr>
          <xdr:cNvCxnSpPr>
            <a:cxnSpLocks/>
            <a:stCxn id="88" idx="3"/>
            <a:endCxn id="34" idx="4"/>
          </xdr:cNvCxnSpPr>
        </xdr:nvCxnSpPr>
        <xdr:spPr>
          <a:xfrm flipV="1">
            <a:off x="3038145" y="2776683"/>
            <a:ext cx="759536" cy="751863"/>
          </a:xfrm>
          <a:prstGeom prst="bentConnector2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Conector recto de flecha 95">
            <a:extLst>
              <a:ext uri="{FF2B5EF4-FFF2-40B4-BE49-F238E27FC236}">
                <a16:creationId xmlns:a16="http://schemas.microsoft.com/office/drawing/2014/main" id="{95E5AF94-3881-9D19-6D3E-28A79329133B}"/>
              </a:ext>
            </a:extLst>
          </xdr:cNvPr>
          <xdr:cNvCxnSpPr>
            <a:cxnSpLocks/>
            <a:stCxn id="86" idx="3"/>
            <a:endCxn id="34" idx="2"/>
          </xdr:cNvCxnSpPr>
        </xdr:nvCxnSpPr>
        <xdr:spPr>
          <a:xfrm>
            <a:off x="3017187" y="2628741"/>
            <a:ext cx="636494" cy="3942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7" name="Conector recto de flecha 96">
            <a:extLst>
              <a:ext uri="{FF2B5EF4-FFF2-40B4-BE49-F238E27FC236}">
                <a16:creationId xmlns:a16="http://schemas.microsoft.com/office/drawing/2014/main" id="{9C6321C6-12CE-ACA7-80D6-A3E41480F170}"/>
              </a:ext>
            </a:extLst>
          </xdr:cNvPr>
          <xdr:cNvCxnSpPr>
            <a:cxnSpLocks/>
            <a:stCxn id="89" idx="3"/>
            <a:endCxn id="35" idx="2"/>
          </xdr:cNvCxnSpPr>
        </xdr:nvCxnSpPr>
        <xdr:spPr>
          <a:xfrm>
            <a:off x="3017187" y="5514459"/>
            <a:ext cx="636494" cy="2893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8" name="Conector: angular 97">
            <a:extLst>
              <a:ext uri="{FF2B5EF4-FFF2-40B4-BE49-F238E27FC236}">
                <a16:creationId xmlns:a16="http://schemas.microsoft.com/office/drawing/2014/main" id="{CB2D01EB-B6E0-F999-A91F-003B628F877A}"/>
              </a:ext>
            </a:extLst>
          </xdr:cNvPr>
          <xdr:cNvCxnSpPr>
            <a:cxnSpLocks/>
            <a:stCxn id="13" idx="2"/>
            <a:endCxn id="33" idx="2"/>
          </xdr:cNvCxnSpPr>
        </xdr:nvCxnSpPr>
        <xdr:spPr>
          <a:xfrm rot="5400000" flipH="1">
            <a:off x="10815641" y="605629"/>
            <a:ext cx="4832262" cy="13054575"/>
          </a:xfrm>
          <a:prstGeom prst="bentConnector3">
            <a:avLst>
              <a:gd name="adj1" fmla="val -4731"/>
            </a:avLst>
          </a:prstGeom>
          <a:ln w="571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394606</xdr:colOff>
      <xdr:row>19</xdr:row>
      <xdr:rowOff>95251</xdr:rowOff>
    </xdr:from>
    <xdr:to>
      <xdr:col>13</xdr:col>
      <xdr:colOff>285749</xdr:colOff>
      <xdr:row>24</xdr:row>
      <xdr:rowOff>81643</xdr:rowOff>
    </xdr:to>
    <xdr:sp macro="" textlink="">
      <xdr:nvSpPr>
        <xdr:cNvPr id="183" name="Rectángulo 182">
          <a:extLst>
            <a:ext uri="{FF2B5EF4-FFF2-40B4-BE49-F238E27FC236}">
              <a16:creationId xmlns:a16="http://schemas.microsoft.com/office/drawing/2014/main" id="{E9BB7F62-6416-E787-D6A7-4EBF01E1887D}"/>
            </a:ext>
          </a:extLst>
        </xdr:cNvPr>
        <xdr:cNvSpPr/>
      </xdr:nvSpPr>
      <xdr:spPr>
        <a:xfrm>
          <a:off x="8558892" y="2653394"/>
          <a:ext cx="571500" cy="4354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1</a:t>
          </a:r>
          <a:endParaRPr lang="es-CO" sz="1100" b="1"/>
        </a:p>
      </xdr:txBody>
    </xdr:sp>
    <xdr:clientData/>
  </xdr:twoCellAnchor>
  <xdr:twoCellAnchor>
    <xdr:from>
      <xdr:col>21</xdr:col>
      <xdr:colOff>615043</xdr:colOff>
      <xdr:row>34</xdr:row>
      <xdr:rowOff>29937</xdr:rowOff>
    </xdr:from>
    <xdr:to>
      <xdr:col>22</xdr:col>
      <xdr:colOff>506186</xdr:colOff>
      <xdr:row>37</xdr:row>
      <xdr:rowOff>16330</xdr:rowOff>
    </xdr:to>
    <xdr:sp macro="" textlink="">
      <xdr:nvSpPr>
        <xdr:cNvPr id="184" name="Rectángulo 183">
          <a:extLst>
            <a:ext uri="{FF2B5EF4-FFF2-40B4-BE49-F238E27FC236}">
              <a16:creationId xmlns:a16="http://schemas.microsoft.com/office/drawing/2014/main" id="{1D9F3428-7D2B-448B-B35F-4F2BFD5FEB5B}"/>
            </a:ext>
          </a:extLst>
        </xdr:cNvPr>
        <xdr:cNvSpPr/>
      </xdr:nvSpPr>
      <xdr:spPr>
        <a:xfrm>
          <a:off x="14902543" y="4384223"/>
          <a:ext cx="571500" cy="4354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3</a:t>
          </a:r>
          <a:endParaRPr lang="es-CO" sz="1100" b="1"/>
        </a:p>
      </xdr:txBody>
    </xdr:sp>
    <xdr:clientData/>
  </xdr:twoCellAnchor>
  <xdr:twoCellAnchor>
    <xdr:from>
      <xdr:col>24</xdr:col>
      <xdr:colOff>345621</xdr:colOff>
      <xdr:row>21</xdr:row>
      <xdr:rowOff>114301</xdr:rowOff>
    </xdr:from>
    <xdr:to>
      <xdr:col>25</xdr:col>
      <xdr:colOff>236763</xdr:colOff>
      <xdr:row>24</xdr:row>
      <xdr:rowOff>122464</xdr:rowOff>
    </xdr:to>
    <xdr:sp macro="" textlink="">
      <xdr:nvSpPr>
        <xdr:cNvPr id="185" name="Rectángulo 184">
          <a:extLst>
            <a:ext uri="{FF2B5EF4-FFF2-40B4-BE49-F238E27FC236}">
              <a16:creationId xmlns:a16="http://schemas.microsoft.com/office/drawing/2014/main" id="{0CD4008E-5CD2-4A13-BB0A-6E8D19361456}"/>
            </a:ext>
          </a:extLst>
        </xdr:cNvPr>
        <xdr:cNvSpPr/>
      </xdr:nvSpPr>
      <xdr:spPr>
        <a:xfrm>
          <a:off x="16674192" y="3271158"/>
          <a:ext cx="571500" cy="45719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2</a:t>
          </a:r>
          <a:endParaRPr lang="es-CO" sz="1100" b="1"/>
        </a:p>
      </xdr:txBody>
    </xdr:sp>
    <xdr:clientData/>
  </xdr:twoCellAnchor>
  <xdr:twoCellAnchor>
    <xdr:from>
      <xdr:col>20</xdr:col>
      <xdr:colOff>223158</xdr:colOff>
      <xdr:row>16</xdr:row>
      <xdr:rowOff>141515</xdr:rowOff>
    </xdr:from>
    <xdr:to>
      <xdr:col>21</xdr:col>
      <xdr:colOff>122465</xdr:colOff>
      <xdr:row>20</xdr:row>
      <xdr:rowOff>108857</xdr:rowOff>
    </xdr:to>
    <xdr:sp macro="" textlink="">
      <xdr:nvSpPr>
        <xdr:cNvPr id="186" name="Rectángulo 185">
          <a:extLst>
            <a:ext uri="{FF2B5EF4-FFF2-40B4-BE49-F238E27FC236}">
              <a16:creationId xmlns:a16="http://schemas.microsoft.com/office/drawing/2014/main" id="{A37313BE-F3FE-43C9-B4E0-3577B3B7A26A}"/>
            </a:ext>
          </a:extLst>
        </xdr:cNvPr>
        <xdr:cNvSpPr/>
      </xdr:nvSpPr>
      <xdr:spPr>
        <a:xfrm>
          <a:off x="13830301" y="2549979"/>
          <a:ext cx="579664" cy="56605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4</a:t>
          </a:r>
          <a:endParaRPr lang="es-CO" sz="1100" b="1"/>
        </a:p>
      </xdr:txBody>
    </xdr:sp>
    <xdr:clientData/>
  </xdr:twoCellAnchor>
  <xdr:twoCellAnchor>
    <xdr:from>
      <xdr:col>21</xdr:col>
      <xdr:colOff>421820</xdr:colOff>
      <xdr:row>10</xdr:row>
      <xdr:rowOff>95250</xdr:rowOff>
    </xdr:from>
    <xdr:to>
      <xdr:col>22</xdr:col>
      <xdr:colOff>312963</xdr:colOff>
      <xdr:row>13</xdr:row>
      <xdr:rowOff>136073</xdr:rowOff>
    </xdr:to>
    <xdr:sp macro="" textlink="">
      <xdr:nvSpPr>
        <xdr:cNvPr id="187" name="Rectángulo 186">
          <a:extLst>
            <a:ext uri="{FF2B5EF4-FFF2-40B4-BE49-F238E27FC236}">
              <a16:creationId xmlns:a16="http://schemas.microsoft.com/office/drawing/2014/main" id="{69CA18DB-E613-467B-B1E9-9DBD1452AA7C}"/>
            </a:ext>
          </a:extLst>
        </xdr:cNvPr>
        <xdr:cNvSpPr/>
      </xdr:nvSpPr>
      <xdr:spPr>
        <a:xfrm>
          <a:off x="14709320" y="1592036"/>
          <a:ext cx="571500" cy="4898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5</a:t>
          </a:r>
          <a:endParaRPr lang="es-CO" sz="1100" b="1"/>
        </a:p>
      </xdr:txBody>
    </xdr:sp>
    <xdr:clientData/>
  </xdr:twoCellAnchor>
  <xdr:twoCellAnchor>
    <xdr:from>
      <xdr:col>30</xdr:col>
      <xdr:colOff>506186</xdr:colOff>
      <xdr:row>21</xdr:row>
      <xdr:rowOff>29935</xdr:rowOff>
    </xdr:from>
    <xdr:to>
      <xdr:col>31</xdr:col>
      <xdr:colOff>397329</xdr:colOff>
      <xdr:row>24</xdr:row>
      <xdr:rowOff>16327</xdr:rowOff>
    </xdr:to>
    <xdr:sp macro="" textlink="">
      <xdr:nvSpPr>
        <xdr:cNvPr id="188" name="Rectángulo 187">
          <a:extLst>
            <a:ext uri="{FF2B5EF4-FFF2-40B4-BE49-F238E27FC236}">
              <a16:creationId xmlns:a16="http://schemas.microsoft.com/office/drawing/2014/main" id="{C4655441-930E-42E8-88D8-D009FAB1F35A}"/>
            </a:ext>
          </a:extLst>
        </xdr:cNvPr>
        <xdr:cNvSpPr/>
      </xdr:nvSpPr>
      <xdr:spPr>
        <a:xfrm>
          <a:off x="20916900" y="3186792"/>
          <a:ext cx="571500" cy="4354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6</a:t>
          </a:r>
          <a:endParaRPr lang="es-CO" sz="1100" b="1"/>
        </a:p>
      </xdr:txBody>
    </xdr:sp>
    <xdr:clientData/>
  </xdr:twoCellAnchor>
  <xdr:twoCellAnchor>
    <xdr:from>
      <xdr:col>28</xdr:col>
      <xdr:colOff>598714</xdr:colOff>
      <xdr:row>31</xdr:row>
      <xdr:rowOff>122464</xdr:rowOff>
    </xdr:from>
    <xdr:to>
      <xdr:col>29</xdr:col>
      <xdr:colOff>489857</xdr:colOff>
      <xdr:row>34</xdr:row>
      <xdr:rowOff>108855</xdr:rowOff>
    </xdr:to>
    <xdr:sp macro="" textlink="">
      <xdr:nvSpPr>
        <xdr:cNvPr id="189" name="Rectángulo 188">
          <a:extLst>
            <a:ext uri="{FF2B5EF4-FFF2-40B4-BE49-F238E27FC236}">
              <a16:creationId xmlns:a16="http://schemas.microsoft.com/office/drawing/2014/main" id="{53BFF974-8B7A-4115-B45F-00A2D79539FB}"/>
            </a:ext>
          </a:extLst>
        </xdr:cNvPr>
        <xdr:cNvSpPr/>
      </xdr:nvSpPr>
      <xdr:spPr>
        <a:xfrm>
          <a:off x="19648714" y="4776107"/>
          <a:ext cx="571500" cy="43542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7</a:t>
          </a:r>
          <a:endParaRPr lang="es-CO" sz="1100" b="1"/>
        </a:p>
      </xdr:txBody>
    </xdr:sp>
    <xdr:clientData/>
  </xdr:twoCellAnchor>
  <xdr:twoCellAnchor>
    <xdr:from>
      <xdr:col>25</xdr:col>
      <xdr:colOff>299356</xdr:colOff>
      <xdr:row>64</xdr:row>
      <xdr:rowOff>136072</xdr:rowOff>
    </xdr:from>
    <xdr:to>
      <xdr:col>26</xdr:col>
      <xdr:colOff>190499</xdr:colOff>
      <xdr:row>67</xdr:row>
      <xdr:rowOff>122464</xdr:rowOff>
    </xdr:to>
    <xdr:sp macro="" textlink="">
      <xdr:nvSpPr>
        <xdr:cNvPr id="190" name="Rectángulo 189">
          <a:extLst>
            <a:ext uri="{FF2B5EF4-FFF2-40B4-BE49-F238E27FC236}">
              <a16:creationId xmlns:a16="http://schemas.microsoft.com/office/drawing/2014/main" id="{BA68BEF6-AE9F-4763-8874-0B94072AAAF9}"/>
            </a:ext>
          </a:extLst>
        </xdr:cNvPr>
        <xdr:cNvSpPr/>
      </xdr:nvSpPr>
      <xdr:spPr>
        <a:xfrm>
          <a:off x="17308285" y="9742715"/>
          <a:ext cx="571500" cy="4354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8</a:t>
          </a:r>
          <a:endParaRPr lang="es-CO" sz="1100" b="1"/>
        </a:p>
      </xdr:txBody>
    </xdr:sp>
    <xdr:clientData/>
  </xdr:twoCellAnchor>
  <xdr:twoCellAnchor>
    <xdr:from>
      <xdr:col>30</xdr:col>
      <xdr:colOff>13607</xdr:colOff>
      <xdr:row>47</xdr:row>
      <xdr:rowOff>136071</xdr:rowOff>
    </xdr:from>
    <xdr:to>
      <xdr:col>30</xdr:col>
      <xdr:colOff>585107</xdr:colOff>
      <xdr:row>51</xdr:row>
      <xdr:rowOff>122464</xdr:rowOff>
    </xdr:to>
    <xdr:sp macro="" textlink="">
      <xdr:nvSpPr>
        <xdr:cNvPr id="194" name="Rectángulo 193">
          <a:extLst>
            <a:ext uri="{FF2B5EF4-FFF2-40B4-BE49-F238E27FC236}">
              <a16:creationId xmlns:a16="http://schemas.microsoft.com/office/drawing/2014/main" id="{73048699-2F37-4B76-8BC0-6D31BDDE4CB2}"/>
            </a:ext>
          </a:extLst>
        </xdr:cNvPr>
        <xdr:cNvSpPr/>
      </xdr:nvSpPr>
      <xdr:spPr>
        <a:xfrm>
          <a:off x="20424321" y="7198178"/>
          <a:ext cx="571500" cy="58510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9</a:t>
          </a:r>
          <a:endParaRPr lang="es-CO" sz="1100" b="1"/>
        </a:p>
      </xdr:txBody>
    </xdr:sp>
    <xdr:clientData/>
  </xdr:twoCellAnchor>
  <xdr:twoCellAnchor>
    <xdr:from>
      <xdr:col>37</xdr:col>
      <xdr:colOff>231322</xdr:colOff>
      <xdr:row>20</xdr:row>
      <xdr:rowOff>122463</xdr:rowOff>
    </xdr:from>
    <xdr:to>
      <xdr:col>38</xdr:col>
      <xdr:colOff>122465</xdr:colOff>
      <xdr:row>23</xdr:row>
      <xdr:rowOff>108856</xdr:rowOff>
    </xdr:to>
    <xdr:sp macro="" textlink="">
      <xdr:nvSpPr>
        <xdr:cNvPr id="195" name="Rectángulo 194">
          <a:extLst>
            <a:ext uri="{FF2B5EF4-FFF2-40B4-BE49-F238E27FC236}">
              <a16:creationId xmlns:a16="http://schemas.microsoft.com/office/drawing/2014/main" id="{D10D3C1F-21D4-4025-9141-54C9A9ADAC16}"/>
            </a:ext>
          </a:extLst>
        </xdr:cNvPr>
        <xdr:cNvSpPr/>
      </xdr:nvSpPr>
      <xdr:spPr>
        <a:xfrm>
          <a:off x="25404536" y="3129642"/>
          <a:ext cx="571500" cy="4354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10</a:t>
          </a:r>
          <a:endParaRPr lang="es-CO" sz="1100" b="1"/>
        </a:p>
      </xdr:txBody>
    </xdr:sp>
    <xdr:clientData/>
  </xdr:twoCellAnchor>
  <xdr:twoCellAnchor>
    <xdr:from>
      <xdr:col>35</xdr:col>
      <xdr:colOff>217715</xdr:colOff>
      <xdr:row>31</xdr:row>
      <xdr:rowOff>13607</xdr:rowOff>
    </xdr:from>
    <xdr:to>
      <xdr:col>36</xdr:col>
      <xdr:colOff>108858</xdr:colOff>
      <xdr:row>35</xdr:row>
      <xdr:rowOff>0</xdr:rowOff>
    </xdr:to>
    <xdr:sp macro="" textlink="">
      <xdr:nvSpPr>
        <xdr:cNvPr id="196" name="Rectángulo 195">
          <a:extLst>
            <a:ext uri="{FF2B5EF4-FFF2-40B4-BE49-F238E27FC236}">
              <a16:creationId xmlns:a16="http://schemas.microsoft.com/office/drawing/2014/main" id="{5320F067-294B-493D-8CB7-8C97D3286ABC}"/>
            </a:ext>
          </a:extLst>
        </xdr:cNvPr>
        <xdr:cNvSpPr/>
      </xdr:nvSpPr>
      <xdr:spPr>
        <a:xfrm>
          <a:off x="24030215" y="4667250"/>
          <a:ext cx="571500" cy="58510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11</a:t>
          </a:r>
          <a:endParaRPr lang="es-CO" sz="1100" b="1"/>
        </a:p>
      </xdr:txBody>
    </xdr:sp>
    <xdr:clientData/>
  </xdr:twoCellAnchor>
  <xdr:twoCellAnchor>
    <xdr:from>
      <xdr:col>35</xdr:col>
      <xdr:colOff>476249</xdr:colOff>
      <xdr:row>11</xdr:row>
      <xdr:rowOff>95250</xdr:rowOff>
    </xdr:from>
    <xdr:to>
      <xdr:col>36</xdr:col>
      <xdr:colOff>367392</xdr:colOff>
      <xdr:row>14</xdr:row>
      <xdr:rowOff>95250</xdr:rowOff>
    </xdr:to>
    <xdr:sp macro="" textlink="">
      <xdr:nvSpPr>
        <xdr:cNvPr id="197" name="Rectángulo 196">
          <a:extLst>
            <a:ext uri="{FF2B5EF4-FFF2-40B4-BE49-F238E27FC236}">
              <a16:creationId xmlns:a16="http://schemas.microsoft.com/office/drawing/2014/main" id="{151DE76D-B475-42CB-ABE8-5778600D6CAF}"/>
            </a:ext>
          </a:extLst>
        </xdr:cNvPr>
        <xdr:cNvSpPr/>
      </xdr:nvSpPr>
      <xdr:spPr>
        <a:xfrm>
          <a:off x="24288749" y="1741714"/>
          <a:ext cx="571500" cy="4626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12</a:t>
          </a:r>
          <a:endParaRPr lang="es-CO" sz="1100" b="1"/>
        </a:p>
      </xdr:txBody>
    </xdr:sp>
    <xdr:clientData/>
  </xdr:twoCellAnchor>
  <xdr:twoCellAnchor>
    <xdr:from>
      <xdr:col>41</xdr:col>
      <xdr:colOff>465363</xdr:colOff>
      <xdr:row>31</xdr:row>
      <xdr:rowOff>84365</xdr:rowOff>
    </xdr:from>
    <xdr:to>
      <xdr:col>42</xdr:col>
      <xdr:colOff>356506</xdr:colOff>
      <xdr:row>34</xdr:row>
      <xdr:rowOff>70757</xdr:rowOff>
    </xdr:to>
    <xdr:sp macro="" textlink="">
      <xdr:nvSpPr>
        <xdr:cNvPr id="198" name="Rectángulo 197">
          <a:extLst>
            <a:ext uri="{FF2B5EF4-FFF2-40B4-BE49-F238E27FC236}">
              <a16:creationId xmlns:a16="http://schemas.microsoft.com/office/drawing/2014/main" id="{71D03EED-7719-468B-B4FD-80ECA3FF87B2}"/>
            </a:ext>
          </a:extLst>
        </xdr:cNvPr>
        <xdr:cNvSpPr/>
      </xdr:nvSpPr>
      <xdr:spPr>
        <a:xfrm>
          <a:off x="28360006" y="4738008"/>
          <a:ext cx="571500" cy="4354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15</a:t>
          </a:r>
          <a:endParaRPr lang="es-CO" sz="1100" b="1"/>
        </a:p>
      </xdr:txBody>
    </xdr:sp>
    <xdr:clientData/>
  </xdr:twoCellAnchor>
  <xdr:twoCellAnchor>
    <xdr:from>
      <xdr:col>35</xdr:col>
      <xdr:colOff>122463</xdr:colOff>
      <xdr:row>6</xdr:row>
      <xdr:rowOff>68037</xdr:rowOff>
    </xdr:from>
    <xdr:to>
      <xdr:col>36</xdr:col>
      <xdr:colOff>95250</xdr:colOff>
      <xdr:row>9</xdr:row>
      <xdr:rowOff>95250</xdr:rowOff>
    </xdr:to>
    <xdr:sp macro="" textlink="">
      <xdr:nvSpPr>
        <xdr:cNvPr id="199" name="Rectángulo 198">
          <a:extLst>
            <a:ext uri="{FF2B5EF4-FFF2-40B4-BE49-F238E27FC236}">
              <a16:creationId xmlns:a16="http://schemas.microsoft.com/office/drawing/2014/main" id="{8B5D4A69-C436-403A-8FBF-1AECA5D2E774}"/>
            </a:ext>
          </a:extLst>
        </xdr:cNvPr>
        <xdr:cNvSpPr/>
      </xdr:nvSpPr>
      <xdr:spPr>
        <a:xfrm>
          <a:off x="23934963" y="966108"/>
          <a:ext cx="653144" cy="4762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13</a:t>
          </a:r>
          <a:endParaRPr lang="es-CO" sz="1100" b="1"/>
        </a:p>
      </xdr:txBody>
    </xdr:sp>
    <xdr:clientData/>
  </xdr:twoCellAnchor>
  <xdr:twoCellAnchor>
    <xdr:from>
      <xdr:col>42</xdr:col>
      <xdr:colOff>40821</xdr:colOff>
      <xdr:row>11</xdr:row>
      <xdr:rowOff>81644</xdr:rowOff>
    </xdr:from>
    <xdr:to>
      <xdr:col>42</xdr:col>
      <xdr:colOff>612321</xdr:colOff>
      <xdr:row>14</xdr:row>
      <xdr:rowOff>54429</xdr:rowOff>
    </xdr:to>
    <xdr:sp macro="" textlink="">
      <xdr:nvSpPr>
        <xdr:cNvPr id="200" name="Rectángulo 199">
          <a:extLst>
            <a:ext uri="{FF2B5EF4-FFF2-40B4-BE49-F238E27FC236}">
              <a16:creationId xmlns:a16="http://schemas.microsoft.com/office/drawing/2014/main" id="{88A94AFD-25F3-4B70-A806-1210CC110F7D}"/>
            </a:ext>
          </a:extLst>
        </xdr:cNvPr>
        <xdr:cNvSpPr/>
      </xdr:nvSpPr>
      <xdr:spPr>
        <a:xfrm>
          <a:off x="28615821" y="1728108"/>
          <a:ext cx="571500" cy="4354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14</a:t>
          </a:r>
          <a:endParaRPr lang="es-CO" sz="1100" b="1"/>
        </a:p>
      </xdr:txBody>
    </xdr:sp>
    <xdr:clientData/>
  </xdr:twoCellAnchor>
  <xdr:twoCellAnchor>
    <xdr:from>
      <xdr:col>41</xdr:col>
      <xdr:colOff>353785</xdr:colOff>
      <xdr:row>6</xdr:row>
      <xdr:rowOff>108858</xdr:rowOff>
    </xdr:from>
    <xdr:to>
      <xdr:col>42</xdr:col>
      <xdr:colOff>244928</xdr:colOff>
      <xdr:row>9</xdr:row>
      <xdr:rowOff>95250</xdr:rowOff>
    </xdr:to>
    <xdr:sp macro="" textlink="">
      <xdr:nvSpPr>
        <xdr:cNvPr id="201" name="Rectángulo 200">
          <a:extLst>
            <a:ext uri="{FF2B5EF4-FFF2-40B4-BE49-F238E27FC236}">
              <a16:creationId xmlns:a16="http://schemas.microsoft.com/office/drawing/2014/main" id="{26EE76B5-383B-4355-A010-92308ADC4F2F}"/>
            </a:ext>
          </a:extLst>
        </xdr:cNvPr>
        <xdr:cNvSpPr/>
      </xdr:nvSpPr>
      <xdr:spPr>
        <a:xfrm>
          <a:off x="28248428" y="1006929"/>
          <a:ext cx="571500" cy="4354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16</a:t>
          </a:r>
          <a:endParaRPr lang="es-CO" sz="1100" b="1"/>
        </a:p>
      </xdr:txBody>
    </xdr:sp>
    <xdr:clientData/>
  </xdr:twoCellAnchor>
  <xdr:twoCellAnchor>
    <xdr:from>
      <xdr:col>49</xdr:col>
      <xdr:colOff>557893</xdr:colOff>
      <xdr:row>56</xdr:row>
      <xdr:rowOff>108857</xdr:rowOff>
    </xdr:from>
    <xdr:to>
      <xdr:col>50</xdr:col>
      <xdr:colOff>449036</xdr:colOff>
      <xdr:row>59</xdr:row>
      <xdr:rowOff>95249</xdr:rowOff>
    </xdr:to>
    <xdr:sp macro="" textlink="">
      <xdr:nvSpPr>
        <xdr:cNvPr id="202" name="Rectángulo 201">
          <a:extLst>
            <a:ext uri="{FF2B5EF4-FFF2-40B4-BE49-F238E27FC236}">
              <a16:creationId xmlns:a16="http://schemas.microsoft.com/office/drawing/2014/main" id="{3BCA8969-5038-4A5E-A5DF-C41157962CA5}"/>
            </a:ext>
          </a:extLst>
        </xdr:cNvPr>
        <xdr:cNvSpPr/>
      </xdr:nvSpPr>
      <xdr:spPr>
        <a:xfrm>
          <a:off x="33895393" y="7769678"/>
          <a:ext cx="571500" cy="4354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2800" b="1"/>
            <a:t>17</a:t>
          </a:r>
          <a:endParaRPr lang="es-CO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644337</xdr:colOff>
      <xdr:row>12</xdr:row>
      <xdr:rowOff>57149</xdr:rowOff>
    </xdr:from>
    <xdr:to>
      <xdr:col>15</xdr:col>
      <xdr:colOff>621926</xdr:colOff>
      <xdr:row>28</xdr:row>
      <xdr:rowOff>88525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CBD97-ECDC-572D-7F82-F901CF49E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70</xdr:row>
      <xdr:rowOff>0</xdr:rowOff>
    </xdr:from>
    <xdr:to>
      <xdr:col>16</xdr:col>
      <xdr:colOff>77237</xdr:colOff>
      <xdr:row>99</xdr:row>
      <xdr:rowOff>114935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ACC3F0E4-8A15-476E-B720-6DE50A0EE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11506200"/>
          <a:ext cx="7430537" cy="4534534"/>
        </a:xfrm>
        <a:prstGeom prst="rect">
          <a:avLst/>
        </a:prstGeom>
      </xdr:spPr>
    </xdr:pic>
    <xdr:clientData/>
  </xdr:twoCellAnchor>
  <xdr:twoCellAnchor>
    <xdr:from>
      <xdr:col>66</xdr:col>
      <xdr:colOff>145844</xdr:colOff>
      <xdr:row>3</xdr:row>
      <xdr:rowOff>191619</xdr:rowOff>
    </xdr:from>
    <xdr:to>
      <xdr:col>72</xdr:col>
      <xdr:colOff>111724</xdr:colOff>
      <xdr:row>16</xdr:row>
      <xdr:rowOff>148401</xdr:rowOff>
    </xdr:to>
    <xdr:graphicFrame macro="">
      <xdr:nvGraphicFramePr>
        <xdr:cNvPr id="152" name="Gráfico 151">
          <a:extLst>
            <a:ext uri="{FF2B5EF4-FFF2-40B4-BE49-F238E27FC236}">
              <a16:creationId xmlns:a16="http://schemas.microsoft.com/office/drawing/2014/main" id="{ECEF3E35-AA52-462A-9056-6FBA5A43F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55</xdr:col>
      <xdr:colOff>140074</xdr:colOff>
      <xdr:row>28</xdr:row>
      <xdr:rowOff>75640</xdr:rowOff>
    </xdr:from>
    <xdr:to>
      <xdr:col>59</xdr:col>
      <xdr:colOff>313601</xdr:colOff>
      <xdr:row>54</xdr:row>
      <xdr:rowOff>26882</xdr:rowOff>
    </xdr:to>
    <xdr:pic>
      <xdr:nvPicPr>
        <xdr:cNvPr id="433" name="Imagen 432">
          <a:extLst>
            <a:ext uri="{FF2B5EF4-FFF2-40B4-BE49-F238E27FC236}">
              <a16:creationId xmlns:a16="http://schemas.microsoft.com/office/drawing/2014/main" id="{AA72D23D-8761-B946-4339-3B9506BB4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895368" y="5230346"/>
          <a:ext cx="2840527" cy="4041389"/>
        </a:xfrm>
        <a:prstGeom prst="rect">
          <a:avLst/>
        </a:prstGeom>
      </xdr:spPr>
    </xdr:pic>
    <xdr:clientData/>
  </xdr:twoCellAnchor>
  <xdr:twoCellAnchor>
    <xdr:from>
      <xdr:col>3</xdr:col>
      <xdr:colOff>40181</xdr:colOff>
      <xdr:row>6</xdr:row>
      <xdr:rowOff>78828</xdr:rowOff>
    </xdr:from>
    <xdr:to>
      <xdr:col>40</xdr:col>
      <xdr:colOff>19123</xdr:colOff>
      <xdr:row>64</xdr:row>
      <xdr:rowOff>4807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6191611-3738-D6E0-3B11-D30C89D06248}"/>
            </a:ext>
          </a:extLst>
        </xdr:cNvPr>
        <xdr:cNvGrpSpPr/>
      </xdr:nvGrpSpPr>
      <xdr:grpSpPr>
        <a:xfrm>
          <a:off x="1808021" y="1755228"/>
          <a:ext cx="19181342" cy="8795659"/>
          <a:chOff x="1702726" y="1776010"/>
          <a:chExt cx="17937897" cy="8983388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9CA78D07-3210-7946-05AC-24CBCC14138E}"/>
              </a:ext>
            </a:extLst>
          </xdr:cNvPr>
          <xdr:cNvSpPr/>
        </xdr:nvSpPr>
        <xdr:spPr>
          <a:xfrm>
            <a:off x="2484220" y="2279716"/>
            <a:ext cx="906833" cy="55973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Continous</a:t>
            </a:r>
            <a:r>
              <a:rPr lang="es-CO" sz="1100"/>
              <a:t> </a:t>
            </a:r>
            <a:r>
              <a:rPr lang="en-US" sz="1100"/>
              <a:t>sterilization</a:t>
            </a:r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83CF6674-C399-74BE-E946-E4CDC894BA7B}"/>
              </a:ext>
            </a:extLst>
          </xdr:cNvPr>
          <xdr:cNvSpPr/>
        </xdr:nvSpPr>
        <xdr:spPr>
          <a:xfrm>
            <a:off x="4325126" y="2268946"/>
            <a:ext cx="906833" cy="55973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Threshing</a:t>
            </a:r>
          </a:p>
        </xdr:txBody>
      </xdr: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D1F19FEB-02F9-3FD3-BEB5-33EE4D9723BF}"/>
              </a:ext>
            </a:extLst>
          </xdr:cNvPr>
          <xdr:cNvSpPr/>
        </xdr:nvSpPr>
        <xdr:spPr>
          <a:xfrm>
            <a:off x="6195719" y="2262782"/>
            <a:ext cx="906833" cy="55973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Digestion &amp; pressing</a:t>
            </a:r>
          </a:p>
        </xdr:txBody>
      </xdr:sp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87008B99-D9CC-7DFB-8692-DDE843F0C628}"/>
              </a:ext>
            </a:extLst>
          </xdr:cNvPr>
          <xdr:cNvSpPr/>
        </xdr:nvSpPr>
        <xdr:spPr>
          <a:xfrm>
            <a:off x="6195719" y="4220529"/>
            <a:ext cx="906833" cy="553551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Fiber</a:t>
            </a:r>
            <a:r>
              <a:rPr lang="es-CO" sz="1100"/>
              <a:t> &amp; Nuts</a:t>
            </a:r>
          </a:p>
          <a:p>
            <a:pPr algn="ctr"/>
            <a:r>
              <a:rPr lang="en-US" sz="1100"/>
              <a:t>Separation</a:t>
            </a:r>
          </a:p>
        </xdr:txBody>
      </xdr:sp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797BAEA2-45B0-2C5B-37D6-7282AA886A1B}"/>
              </a:ext>
            </a:extLst>
          </xdr:cNvPr>
          <xdr:cNvSpPr/>
        </xdr:nvSpPr>
        <xdr:spPr>
          <a:xfrm>
            <a:off x="9859853" y="2256249"/>
            <a:ext cx="906833" cy="55973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Oil storage</a:t>
            </a:r>
          </a:p>
        </xdr:txBody>
      </xdr:sp>
      <xdr:sp macro="" textlink="">
        <xdr:nvSpPr>
          <xdr:cNvPr id="8" name="Rectángulo 7">
            <a:extLst>
              <a:ext uri="{FF2B5EF4-FFF2-40B4-BE49-F238E27FC236}">
                <a16:creationId xmlns:a16="http://schemas.microsoft.com/office/drawing/2014/main" id="{1B602B16-BAAD-D501-86D3-5DACF9524A87}"/>
              </a:ext>
            </a:extLst>
          </xdr:cNvPr>
          <xdr:cNvSpPr/>
        </xdr:nvSpPr>
        <xdr:spPr>
          <a:xfrm>
            <a:off x="7965817" y="2256249"/>
            <a:ext cx="917224" cy="55973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Dynamic</a:t>
            </a:r>
          </a:p>
          <a:p>
            <a:pPr algn="ctr"/>
            <a:r>
              <a:rPr lang="en-US" sz="1100"/>
              <a:t>Clarification</a:t>
            </a:r>
          </a:p>
        </xdr:txBody>
      </xdr:sp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71670478-BAD3-8A53-E51A-2B52C267C255}"/>
              </a:ext>
            </a:extLst>
          </xdr:cNvPr>
          <xdr:cNvSpPr/>
        </xdr:nvSpPr>
        <xdr:spPr>
          <a:xfrm>
            <a:off x="4325126" y="4214674"/>
            <a:ext cx="906833" cy="553551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EFB Pressing</a:t>
            </a:r>
          </a:p>
        </xdr:txBody>
      </xdr:sp>
      <xdr:cxnSp macro="">
        <xdr:nvCxnSpPr>
          <xdr:cNvPr id="10" name="Conector recto de flecha 9">
            <a:extLst>
              <a:ext uri="{FF2B5EF4-FFF2-40B4-BE49-F238E27FC236}">
                <a16:creationId xmlns:a16="http://schemas.microsoft.com/office/drawing/2014/main" id="{66909D97-8526-A5D4-850A-18CE61AE99C2}"/>
              </a:ext>
            </a:extLst>
          </xdr:cNvPr>
          <xdr:cNvCxnSpPr>
            <a:cxnSpLocks/>
            <a:endCxn id="3" idx="1"/>
          </xdr:cNvCxnSpPr>
        </xdr:nvCxnSpPr>
        <xdr:spPr>
          <a:xfrm flipV="1">
            <a:off x="1705817" y="2559583"/>
            <a:ext cx="778403" cy="6350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1" name="CuadroTexto 128">
                <a:extLst>
                  <a:ext uri="{FF2B5EF4-FFF2-40B4-BE49-F238E27FC236}">
                    <a16:creationId xmlns:a16="http://schemas.microsoft.com/office/drawing/2014/main" id="{2EFA558B-B918-13B7-185A-FE2032A42A89}"/>
                  </a:ext>
                </a:extLst>
              </xdr:cNvPr>
              <xdr:cNvSpPr txBox="1"/>
            </xdr:nvSpPr>
            <xdr:spPr>
              <a:xfrm>
                <a:off x="1702726" y="2232585"/>
                <a:ext cx="641779" cy="271556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100" i="1">
                          <a:latin typeface="Cambria Math" panose="02040503050406030204" pitchFamily="18" charset="0"/>
                        </a:rPr>
                        <m:t>𝑅𝐹𝐹</m:t>
                      </m:r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11" name="CuadroTexto 128">
                <a:extLst>
                  <a:ext uri="{FF2B5EF4-FFF2-40B4-BE49-F238E27FC236}">
                    <a16:creationId xmlns:a16="http://schemas.microsoft.com/office/drawing/2014/main" id="{2EFA558B-B918-13B7-185A-FE2032A42A89}"/>
                  </a:ext>
                </a:extLst>
              </xdr:cNvPr>
              <xdr:cNvSpPr txBox="1"/>
            </xdr:nvSpPr>
            <xdr:spPr>
              <a:xfrm>
                <a:off x="1702726" y="2232585"/>
                <a:ext cx="641779" cy="271556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𝑅𝐹𝐹</a:t>
                </a:r>
                <a:endParaRPr lang="en-US" sz="1100"/>
              </a:p>
            </xdr:txBody>
          </xdr:sp>
        </mc:Fallback>
      </mc:AlternateContent>
      <xdr:cxnSp macro="">
        <xdr:nvCxnSpPr>
          <xdr:cNvPr id="12" name="Conector recto de flecha 11">
            <a:extLst>
              <a:ext uri="{FF2B5EF4-FFF2-40B4-BE49-F238E27FC236}">
                <a16:creationId xmlns:a16="http://schemas.microsoft.com/office/drawing/2014/main" id="{FD94C5A0-D4F2-6AF6-C337-FB133A59AD07}"/>
              </a:ext>
            </a:extLst>
          </xdr:cNvPr>
          <xdr:cNvCxnSpPr>
            <a:cxnSpLocks/>
            <a:stCxn id="6" idx="3"/>
            <a:endCxn id="16" idx="1"/>
          </xdr:cNvCxnSpPr>
        </xdr:nvCxnSpPr>
        <xdr:spPr>
          <a:xfrm flipV="1">
            <a:off x="7102553" y="4494098"/>
            <a:ext cx="1065885" cy="115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Conector recto de flecha 12">
            <a:extLst>
              <a:ext uri="{FF2B5EF4-FFF2-40B4-BE49-F238E27FC236}">
                <a16:creationId xmlns:a16="http://schemas.microsoft.com/office/drawing/2014/main" id="{BBD89F1A-5048-08C5-5D43-B63A770C2C09}"/>
              </a:ext>
            </a:extLst>
          </xdr:cNvPr>
          <xdr:cNvCxnSpPr>
            <a:cxnSpLocks/>
            <a:stCxn id="5" idx="3"/>
            <a:endCxn id="8" idx="1"/>
          </xdr:cNvCxnSpPr>
        </xdr:nvCxnSpPr>
        <xdr:spPr>
          <a:xfrm flipV="1">
            <a:off x="7102552" y="2536116"/>
            <a:ext cx="863265" cy="6534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Conector recto de flecha 13">
            <a:extLst>
              <a:ext uri="{FF2B5EF4-FFF2-40B4-BE49-F238E27FC236}">
                <a16:creationId xmlns:a16="http://schemas.microsoft.com/office/drawing/2014/main" id="{C4F6E7C0-D687-1128-0117-67E2572BEF0E}"/>
              </a:ext>
            </a:extLst>
          </xdr:cNvPr>
          <xdr:cNvCxnSpPr>
            <a:cxnSpLocks/>
            <a:stCxn id="5" idx="2"/>
            <a:endCxn id="6" idx="0"/>
          </xdr:cNvCxnSpPr>
        </xdr:nvCxnSpPr>
        <xdr:spPr>
          <a:xfrm>
            <a:off x="6649135" y="2822517"/>
            <a:ext cx="0" cy="1398012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1D69AA6D-BC41-B70A-9099-13ACC59D9A1F}"/>
              </a:ext>
            </a:extLst>
          </xdr:cNvPr>
          <xdr:cNvCxnSpPr>
            <a:cxnSpLocks/>
            <a:stCxn id="4" idx="2"/>
            <a:endCxn id="9" idx="0"/>
          </xdr:cNvCxnSpPr>
        </xdr:nvCxnSpPr>
        <xdr:spPr>
          <a:xfrm>
            <a:off x="4778542" y="2828681"/>
            <a:ext cx="0" cy="1385993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" name="Rectángulo 15">
            <a:extLst>
              <a:ext uri="{FF2B5EF4-FFF2-40B4-BE49-F238E27FC236}">
                <a16:creationId xmlns:a16="http://schemas.microsoft.com/office/drawing/2014/main" id="{6644EC84-3B76-2703-C38B-45FFC9BC2E23}"/>
              </a:ext>
            </a:extLst>
          </xdr:cNvPr>
          <xdr:cNvSpPr/>
        </xdr:nvSpPr>
        <xdr:spPr>
          <a:xfrm>
            <a:off x="8168438" y="4220413"/>
            <a:ext cx="906833" cy="553551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Kernel </a:t>
            </a:r>
          </a:p>
          <a:p>
            <a:pPr algn="ctr"/>
            <a:r>
              <a:rPr lang="es-CO" sz="1100"/>
              <a:t>Recovery</a:t>
            </a:r>
          </a:p>
        </xdr:txBody>
      </xdr:sp>
      <xdr:cxnSp macro="">
        <xdr:nvCxnSpPr>
          <xdr:cNvPr id="17" name="Conector recto de flecha 16">
            <a:extLst>
              <a:ext uri="{FF2B5EF4-FFF2-40B4-BE49-F238E27FC236}">
                <a16:creationId xmlns:a16="http://schemas.microsoft.com/office/drawing/2014/main" id="{FA85C2FA-F1F2-A3EC-76DC-BE4E9001F87E}"/>
              </a:ext>
            </a:extLst>
          </xdr:cNvPr>
          <xdr:cNvCxnSpPr>
            <a:cxnSpLocks/>
            <a:stCxn id="8" idx="3"/>
            <a:endCxn id="7" idx="1"/>
          </xdr:cNvCxnSpPr>
        </xdr:nvCxnSpPr>
        <xdr:spPr>
          <a:xfrm>
            <a:off x="8883041" y="2536116"/>
            <a:ext cx="976812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Conector: angular 17">
            <a:extLst>
              <a:ext uri="{FF2B5EF4-FFF2-40B4-BE49-F238E27FC236}">
                <a16:creationId xmlns:a16="http://schemas.microsoft.com/office/drawing/2014/main" id="{8BAD28F5-71ED-14B4-944C-3F105B352415}"/>
              </a:ext>
            </a:extLst>
          </xdr:cNvPr>
          <xdr:cNvCxnSpPr>
            <a:cxnSpLocks noChangeAspect="1"/>
          </xdr:cNvCxnSpPr>
        </xdr:nvCxnSpPr>
        <xdr:spPr>
          <a:xfrm rot="10800000">
            <a:off x="6947463" y="2833947"/>
            <a:ext cx="402638" cy="180853"/>
          </a:xfrm>
          <a:prstGeom prst="bentConnector3">
            <a:avLst>
              <a:gd name="adj1" fmla="val 100171"/>
            </a:avLst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9" name="Conector: angular 18">
            <a:extLst>
              <a:ext uri="{FF2B5EF4-FFF2-40B4-BE49-F238E27FC236}">
                <a16:creationId xmlns:a16="http://schemas.microsoft.com/office/drawing/2014/main" id="{8D81D095-FE4A-DAA1-5CA5-0E8FF6B3A2A1}"/>
              </a:ext>
            </a:extLst>
          </xdr:cNvPr>
          <xdr:cNvCxnSpPr>
            <a:cxnSpLocks noChangeAspect="1"/>
          </xdr:cNvCxnSpPr>
        </xdr:nvCxnSpPr>
        <xdr:spPr>
          <a:xfrm flipV="1">
            <a:off x="7813600" y="2825210"/>
            <a:ext cx="341954" cy="179426"/>
          </a:xfrm>
          <a:prstGeom prst="bentConnector3">
            <a:avLst>
              <a:gd name="adj1" fmla="val 99052"/>
            </a:avLst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0" name="Conector recto de flecha 19">
            <a:extLst>
              <a:ext uri="{FF2B5EF4-FFF2-40B4-BE49-F238E27FC236}">
                <a16:creationId xmlns:a16="http://schemas.microsoft.com/office/drawing/2014/main" id="{0D626B09-2D63-D216-DF24-D23A60A3755B}"/>
              </a:ext>
            </a:extLst>
          </xdr:cNvPr>
          <xdr:cNvCxnSpPr>
            <a:cxnSpLocks/>
            <a:stCxn id="4" idx="3"/>
            <a:endCxn id="5" idx="1"/>
          </xdr:cNvCxnSpPr>
        </xdr:nvCxnSpPr>
        <xdr:spPr>
          <a:xfrm flipV="1">
            <a:off x="5231959" y="2542650"/>
            <a:ext cx="963760" cy="6164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Conector recto de flecha 20">
            <a:extLst>
              <a:ext uri="{FF2B5EF4-FFF2-40B4-BE49-F238E27FC236}">
                <a16:creationId xmlns:a16="http://schemas.microsoft.com/office/drawing/2014/main" id="{20EFCC50-F816-5711-C952-C7997DE77833}"/>
              </a:ext>
            </a:extLst>
          </xdr:cNvPr>
          <xdr:cNvCxnSpPr>
            <a:cxnSpLocks/>
            <a:stCxn id="3" idx="3"/>
            <a:endCxn id="4" idx="1"/>
          </xdr:cNvCxnSpPr>
        </xdr:nvCxnSpPr>
        <xdr:spPr>
          <a:xfrm flipV="1">
            <a:off x="3391053" y="2548814"/>
            <a:ext cx="934073" cy="1076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2" name="Rectángulo 21">
            <a:extLst>
              <a:ext uri="{FF2B5EF4-FFF2-40B4-BE49-F238E27FC236}">
                <a16:creationId xmlns:a16="http://schemas.microsoft.com/office/drawing/2014/main" id="{DABBE8C2-9510-868A-D98D-B893F12F7FE8}"/>
              </a:ext>
            </a:extLst>
          </xdr:cNvPr>
          <xdr:cNvSpPr/>
        </xdr:nvSpPr>
        <xdr:spPr>
          <a:xfrm>
            <a:off x="2471520" y="5259025"/>
            <a:ext cx="906833" cy="55973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Deoiling </a:t>
            </a:r>
            <a:r>
              <a:rPr lang="es-CO" sz="1100"/>
              <a:t>&amp; Sand trap</a:t>
            </a:r>
            <a:endParaRPr lang="en-US" sz="1100"/>
          </a:p>
        </xdr:txBody>
      </xdr:sp>
      <xdr:cxnSp macro="">
        <xdr:nvCxnSpPr>
          <xdr:cNvPr id="23" name="Conector recto de flecha 22">
            <a:extLst>
              <a:ext uri="{FF2B5EF4-FFF2-40B4-BE49-F238E27FC236}">
                <a16:creationId xmlns:a16="http://schemas.microsoft.com/office/drawing/2014/main" id="{70EF7845-7651-58CD-AAF3-8F334719A321}"/>
              </a:ext>
            </a:extLst>
          </xdr:cNvPr>
          <xdr:cNvCxnSpPr>
            <a:stCxn id="3" idx="2"/>
            <a:endCxn id="22" idx="0"/>
          </xdr:cNvCxnSpPr>
        </xdr:nvCxnSpPr>
        <xdr:spPr>
          <a:xfrm flipH="1">
            <a:off x="2924936" y="2839450"/>
            <a:ext cx="12700" cy="2419575"/>
          </a:xfrm>
          <a:prstGeom prst="straightConnector1">
            <a:avLst/>
          </a:prstGeom>
          <a:ln w="19050">
            <a:prstDash val="dash"/>
            <a:headEnd type="none" w="med" len="med"/>
            <a:tailEnd type="triangl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4" name="Conector: angular 23">
            <a:extLst>
              <a:ext uri="{FF2B5EF4-FFF2-40B4-BE49-F238E27FC236}">
                <a16:creationId xmlns:a16="http://schemas.microsoft.com/office/drawing/2014/main" id="{22328273-5C12-582A-04F7-A9A7F9A1BA38}"/>
              </a:ext>
            </a:extLst>
          </xdr:cNvPr>
          <xdr:cNvCxnSpPr>
            <a:stCxn id="8" idx="2"/>
          </xdr:cNvCxnSpPr>
        </xdr:nvCxnSpPr>
        <xdr:spPr>
          <a:xfrm rot="5400000">
            <a:off x="6821866" y="1693113"/>
            <a:ext cx="474498" cy="2720237"/>
          </a:xfrm>
          <a:prstGeom prst="bentConnector2">
            <a:avLst/>
          </a:prstGeom>
          <a:ln w="19050" cap="flat" cmpd="sng" algn="ctr">
            <a:solidFill>
              <a:schemeClr val="accent2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5" name="Conector: angular 24">
            <a:extLst>
              <a:ext uri="{FF2B5EF4-FFF2-40B4-BE49-F238E27FC236}">
                <a16:creationId xmlns:a16="http://schemas.microsoft.com/office/drawing/2014/main" id="{C1B51323-761D-1AF0-F967-4378560EC6D4}"/>
              </a:ext>
            </a:extLst>
          </xdr:cNvPr>
          <xdr:cNvCxnSpPr>
            <a:cxnSpLocks/>
            <a:endCxn id="22" idx="3"/>
          </xdr:cNvCxnSpPr>
        </xdr:nvCxnSpPr>
        <xdr:spPr>
          <a:xfrm rot="10800000" flipV="1">
            <a:off x="3378354" y="3280060"/>
            <a:ext cx="2320646" cy="2258831"/>
          </a:xfrm>
          <a:prstGeom prst="bentConnector3">
            <a:avLst>
              <a:gd name="adj1" fmla="val 81447"/>
            </a:avLst>
          </a:prstGeom>
          <a:ln w="19050" cap="flat" cmpd="sng" algn="ctr">
            <a:solidFill>
              <a:schemeClr val="accent2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6" name="Conector: angular 25">
            <a:extLst>
              <a:ext uri="{FF2B5EF4-FFF2-40B4-BE49-F238E27FC236}">
                <a16:creationId xmlns:a16="http://schemas.microsoft.com/office/drawing/2014/main" id="{9FBBAE6C-3761-E704-92FC-90DA1362ACBC}"/>
              </a:ext>
            </a:extLst>
          </xdr:cNvPr>
          <xdr:cNvCxnSpPr>
            <a:cxnSpLocks/>
            <a:stCxn id="22" idx="2"/>
            <a:endCxn id="103" idx="3"/>
          </xdr:cNvCxnSpPr>
        </xdr:nvCxnSpPr>
        <xdr:spPr>
          <a:xfrm rot="16200000" flipH="1">
            <a:off x="4872785" y="3870910"/>
            <a:ext cx="2621318" cy="6517018"/>
          </a:xfrm>
          <a:prstGeom prst="bentConnector2">
            <a:avLst/>
          </a:prstGeom>
          <a:ln w="19050" cap="flat" cmpd="sng" algn="ctr">
            <a:solidFill>
              <a:schemeClr val="accent2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7" name="Conector: angular 26">
            <a:extLst>
              <a:ext uri="{FF2B5EF4-FFF2-40B4-BE49-F238E27FC236}">
                <a16:creationId xmlns:a16="http://schemas.microsoft.com/office/drawing/2014/main" id="{0C697687-3CD5-602D-51D1-C3B0402BCD52}"/>
              </a:ext>
            </a:extLst>
          </xdr:cNvPr>
          <xdr:cNvCxnSpPr>
            <a:cxnSpLocks/>
          </xdr:cNvCxnSpPr>
        </xdr:nvCxnSpPr>
        <xdr:spPr>
          <a:xfrm rot="10800000" flipV="1">
            <a:off x="3192623" y="1827070"/>
            <a:ext cx="8226158" cy="446481"/>
          </a:xfrm>
          <a:prstGeom prst="bentConnector3">
            <a:avLst>
              <a:gd name="adj1" fmla="val 100039"/>
            </a:avLst>
          </a:prstGeom>
          <a:ln w="190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8" name="CuadroTexto 49">
                <a:extLst>
                  <a:ext uri="{FF2B5EF4-FFF2-40B4-BE49-F238E27FC236}">
                    <a16:creationId xmlns:a16="http://schemas.microsoft.com/office/drawing/2014/main" id="{4E3B1B3C-4552-FA9F-AB3E-A226373D59AB}"/>
                  </a:ext>
                </a:extLst>
              </xdr:cNvPr>
              <xdr:cNvSpPr txBox="1"/>
            </xdr:nvSpPr>
            <xdr:spPr>
              <a:xfrm flipH="1">
                <a:off x="12578265" y="2565288"/>
                <a:ext cx="641778" cy="259368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0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0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00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e>
                          </m:acc>
                        </m:e>
                        <m:sub>
                          <m:r>
                            <a:rPr lang="es-CO" sz="1000" i="1">
                              <a:latin typeface="Cambria Math" panose="02040503050406030204" pitchFamily="18" charset="0"/>
                            </a:rPr>
                            <m:t>𝑖𝑛</m:t>
                          </m:r>
                        </m:sub>
                      </m:sSub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28" name="CuadroTexto 49">
                <a:extLst>
                  <a:ext uri="{FF2B5EF4-FFF2-40B4-BE49-F238E27FC236}">
                    <a16:creationId xmlns:a16="http://schemas.microsoft.com/office/drawing/2014/main" id="{4E3B1B3C-4552-FA9F-AB3E-A226373D59AB}"/>
                  </a:ext>
                </a:extLst>
              </xdr:cNvPr>
              <xdr:cNvSpPr txBox="1"/>
            </xdr:nvSpPr>
            <xdr:spPr>
              <a:xfrm flipH="1">
                <a:off x="12578265" y="2565288"/>
                <a:ext cx="641778" cy="259368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𝑄</a:t>
                </a:r>
                <a:r>
                  <a:rPr lang="en-US" sz="1000" i="0">
                    <a:latin typeface="Cambria Math" panose="02040503050406030204" pitchFamily="18" charset="0"/>
                  </a:rPr>
                  <a:t> ̇_</a:t>
                </a:r>
                <a:r>
                  <a:rPr lang="es-CO" sz="1000" i="0">
                    <a:latin typeface="Cambria Math" panose="02040503050406030204" pitchFamily="18" charset="0"/>
                  </a:rPr>
                  <a:t>𝑖𝑛</a:t>
                </a:r>
                <a:endParaRPr lang="en-US" sz="1000"/>
              </a:p>
            </xdr:txBody>
          </xdr:sp>
        </mc:Fallback>
      </mc:AlternateContent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9447D83E-AD3F-BB7D-AEBD-AF652061E40C}"/>
              </a:ext>
            </a:extLst>
          </xdr:cNvPr>
          <xdr:cNvGrpSpPr/>
        </xdr:nvGrpSpPr>
        <xdr:grpSpPr>
          <a:xfrm>
            <a:off x="11535422" y="5877788"/>
            <a:ext cx="977171" cy="1270640"/>
            <a:chOff x="9399650" y="3735478"/>
            <a:chExt cx="1149558" cy="1257886"/>
          </a:xfrm>
        </xdr:grpSpPr>
        <xdr:sp macro="" textlink="">
          <xdr:nvSpPr>
            <xdr:cNvPr id="128" name="Rectángulo 127">
              <a:extLst>
                <a:ext uri="{FF2B5EF4-FFF2-40B4-BE49-F238E27FC236}">
                  <a16:creationId xmlns:a16="http://schemas.microsoft.com/office/drawing/2014/main" id="{0C7F20F0-C7D5-DD7B-2095-EDEA0A153388}"/>
                </a:ext>
              </a:extLst>
            </xdr:cNvPr>
            <xdr:cNvSpPr/>
          </xdr:nvSpPr>
          <xdr:spPr>
            <a:xfrm flipH="1">
              <a:off x="10333208" y="3735478"/>
              <a:ext cx="216000" cy="72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CO" sz="1200"/>
                <a:t>BPV</a:t>
              </a:r>
            </a:p>
          </xdr:txBody>
        </xdr:sp>
        <xdr:grpSp>
          <xdr:nvGrpSpPr>
            <xdr:cNvPr id="129" name="Grupo 128">
              <a:extLst>
                <a:ext uri="{FF2B5EF4-FFF2-40B4-BE49-F238E27FC236}">
                  <a16:creationId xmlns:a16="http://schemas.microsoft.com/office/drawing/2014/main" id="{A06BA1E4-1A18-5679-5030-A7FEFF0139DF}"/>
                </a:ext>
              </a:extLst>
            </xdr:cNvPr>
            <xdr:cNvGrpSpPr/>
          </xdr:nvGrpSpPr>
          <xdr:grpSpPr>
            <a:xfrm flipH="1">
              <a:off x="9465547" y="4262287"/>
              <a:ext cx="858116" cy="403429"/>
              <a:chOff x="10263949" y="4535578"/>
              <a:chExt cx="858116" cy="403429"/>
            </a:xfrm>
          </xdr:grpSpPr>
          <xdr:cxnSp macro="">
            <xdr:nvCxnSpPr>
              <xdr:cNvPr id="132" name="Conector recto de flecha 131">
                <a:extLst>
                  <a:ext uri="{FF2B5EF4-FFF2-40B4-BE49-F238E27FC236}">
                    <a16:creationId xmlns:a16="http://schemas.microsoft.com/office/drawing/2014/main" id="{97547E56-C820-36DA-533C-A7026D069F00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10263949" y="4599074"/>
                <a:ext cx="282969" cy="0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133" name="Grupo 132">
                <a:extLst>
                  <a:ext uri="{FF2B5EF4-FFF2-40B4-BE49-F238E27FC236}">
                    <a16:creationId xmlns:a16="http://schemas.microsoft.com/office/drawing/2014/main" id="{373218E6-A6B6-10FE-B354-15F826CF5582}"/>
                  </a:ext>
                </a:extLst>
              </xdr:cNvPr>
              <xdr:cNvGrpSpPr/>
            </xdr:nvGrpSpPr>
            <xdr:grpSpPr>
              <a:xfrm flipH="1">
                <a:off x="10528235" y="4535578"/>
                <a:ext cx="483891" cy="143735"/>
                <a:chOff x="3263644" y="1931785"/>
                <a:chExt cx="483891" cy="143735"/>
              </a:xfrm>
            </xdr:grpSpPr>
            <xdr:grpSp>
              <xdr:nvGrpSpPr>
                <xdr:cNvPr id="135" name="Grupo 134">
                  <a:extLst>
                    <a:ext uri="{FF2B5EF4-FFF2-40B4-BE49-F238E27FC236}">
                      <a16:creationId xmlns:a16="http://schemas.microsoft.com/office/drawing/2014/main" id="{DE215D7C-8024-6BEE-FD21-6AB032BA5FFC}"/>
                    </a:ext>
                  </a:extLst>
                </xdr:cNvPr>
                <xdr:cNvGrpSpPr/>
              </xdr:nvGrpSpPr>
              <xdr:grpSpPr>
                <a:xfrm>
                  <a:off x="3263644" y="1931785"/>
                  <a:ext cx="470334" cy="143735"/>
                  <a:chOff x="5379244" y="2570206"/>
                  <a:chExt cx="470334" cy="150170"/>
                </a:xfrm>
              </xdr:grpSpPr>
              <xdr:cxnSp macro="">
                <xdr:nvCxnSpPr>
                  <xdr:cNvPr id="137" name="Conector recto 136">
                    <a:extLst>
                      <a:ext uri="{FF2B5EF4-FFF2-40B4-BE49-F238E27FC236}">
                        <a16:creationId xmlns:a16="http://schemas.microsoft.com/office/drawing/2014/main" id="{F80E3DF2-1095-E135-B2A7-5F37EB4054A8}"/>
                      </a:ext>
                    </a:extLst>
                  </xdr:cNvPr>
                  <xdr:cNvCxnSpPr/>
                </xdr:nvCxnSpPr>
                <xdr:spPr>
                  <a:xfrm>
                    <a:off x="5744803" y="2572828"/>
                    <a:ext cx="0" cy="144000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8" name="Conector recto 137">
                    <a:extLst>
                      <a:ext uri="{FF2B5EF4-FFF2-40B4-BE49-F238E27FC236}">
                        <a16:creationId xmlns:a16="http://schemas.microsoft.com/office/drawing/2014/main" id="{67BDCBE9-06D5-2582-59CA-42144BF8844A}"/>
                      </a:ext>
                    </a:extLst>
                  </xdr:cNvPr>
                  <xdr:cNvCxnSpPr/>
                </xdr:nvCxnSpPr>
                <xdr:spPr>
                  <a:xfrm>
                    <a:off x="5379244" y="2706225"/>
                    <a:ext cx="0" cy="0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9" name="Conector recto 138">
                    <a:extLst>
                      <a:ext uri="{FF2B5EF4-FFF2-40B4-BE49-F238E27FC236}">
                        <a16:creationId xmlns:a16="http://schemas.microsoft.com/office/drawing/2014/main" id="{B269943F-49F4-6AF7-1653-87C410EE6A62}"/>
                      </a:ext>
                    </a:extLst>
                  </xdr:cNvPr>
                  <xdr:cNvCxnSpPr/>
                </xdr:nvCxnSpPr>
                <xdr:spPr>
                  <a:xfrm flipV="1">
                    <a:off x="5744804" y="2576375"/>
                    <a:ext cx="52387" cy="144001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40" name="Conector recto 139">
                    <a:extLst>
                      <a:ext uri="{FF2B5EF4-FFF2-40B4-BE49-F238E27FC236}">
                        <a16:creationId xmlns:a16="http://schemas.microsoft.com/office/drawing/2014/main" id="{C930A1E3-6A8C-5AD7-3AA1-BBCA24A48841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797192" y="2572828"/>
                    <a:ext cx="0" cy="144000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41" name="Conector recto 140">
                    <a:extLst>
                      <a:ext uri="{FF2B5EF4-FFF2-40B4-BE49-F238E27FC236}">
                        <a16:creationId xmlns:a16="http://schemas.microsoft.com/office/drawing/2014/main" id="{697420A5-7321-7FF2-AFEF-0E028FFC2152}"/>
                      </a:ext>
                    </a:extLst>
                  </xdr:cNvPr>
                  <xdr:cNvCxnSpPr/>
                </xdr:nvCxnSpPr>
                <xdr:spPr>
                  <a:xfrm flipV="1">
                    <a:off x="5793774" y="2570206"/>
                    <a:ext cx="52387" cy="144001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42" name="Conector recto 141">
                    <a:extLst>
                      <a:ext uri="{FF2B5EF4-FFF2-40B4-BE49-F238E27FC236}">
                        <a16:creationId xmlns:a16="http://schemas.microsoft.com/office/drawing/2014/main" id="{9A75C7C0-4AEF-5C83-94E2-98B404252CBC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49578" y="2570213"/>
                    <a:ext cx="0" cy="144000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136" name="Conector recto 135">
                  <a:extLst>
                    <a:ext uri="{FF2B5EF4-FFF2-40B4-BE49-F238E27FC236}">
                      <a16:creationId xmlns:a16="http://schemas.microsoft.com/office/drawing/2014/main" id="{47E62D7F-F6D9-7141-F327-C74A62144149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567537" y="2000699"/>
                  <a:ext cx="179998" cy="0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134" name="Conector: angular 133">
                <a:extLst>
                  <a:ext uri="{FF2B5EF4-FFF2-40B4-BE49-F238E27FC236}">
                    <a16:creationId xmlns:a16="http://schemas.microsoft.com/office/drawing/2014/main" id="{E4CDDD96-83EF-6477-5F36-9F46B90A9D69}"/>
                  </a:ext>
                </a:extLst>
              </xdr:cNvPr>
              <xdr:cNvCxnSpPr>
                <a:cxnSpLocks/>
              </xdr:cNvCxnSpPr>
            </xdr:nvCxnSpPr>
            <xdr:spPr>
              <a:xfrm rot="10800000" flipH="1" flipV="1">
                <a:off x="10535012" y="4597948"/>
                <a:ext cx="587053" cy="341059"/>
              </a:xfrm>
              <a:prstGeom prst="bentConnector3">
                <a:avLst>
                  <a:gd name="adj1" fmla="val 533"/>
                </a:avLst>
              </a:prstGeom>
              <a:ln>
                <a:headEnd type="triangle"/>
                <a:tailEnd type="triangle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30" name="CuadroTexto 94">
                  <a:extLst>
                    <a:ext uri="{FF2B5EF4-FFF2-40B4-BE49-F238E27FC236}">
                      <a16:creationId xmlns:a16="http://schemas.microsoft.com/office/drawing/2014/main" id="{08D583E4-CBC0-A689-19E7-94E3B510B13D}"/>
                    </a:ext>
                  </a:extLst>
                </xdr:cNvPr>
                <xdr:cNvSpPr txBox="1"/>
              </xdr:nvSpPr>
              <xdr:spPr>
                <a:xfrm flipH="1">
                  <a:off x="9399650" y="4741307"/>
                  <a:ext cx="728359" cy="25205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̇"/>
                                <m:ctrlPr>
                                  <a:rPr lang="en-US" sz="10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100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</m:acc>
                          </m:e>
                          <m:sub>
                            <m:r>
                              <a:rPr lang="es-CO" sz="1000" i="1">
                                <a:latin typeface="Cambria Math" panose="02040503050406030204" pitchFamily="18" charset="0"/>
                              </a:rPr>
                              <m:t>𝑣𝑒𝑛𝑡</m:t>
                            </m:r>
                          </m:sub>
                        </m:sSub>
                      </m:oMath>
                    </m:oMathPara>
                  </a14:m>
                  <a:endParaRPr lang="en-US" sz="1000"/>
                </a:p>
              </xdr:txBody>
            </xdr:sp>
          </mc:Choice>
          <mc:Fallback xmlns="">
            <xdr:sp macro="" textlink="">
              <xdr:nvSpPr>
                <xdr:cNvPr id="130" name="CuadroTexto 94">
                  <a:extLst>
                    <a:ext uri="{FF2B5EF4-FFF2-40B4-BE49-F238E27FC236}">
                      <a16:creationId xmlns:a16="http://schemas.microsoft.com/office/drawing/2014/main" id="{08D583E4-CBC0-A689-19E7-94E3B510B13D}"/>
                    </a:ext>
                  </a:extLst>
                </xdr:cNvPr>
                <xdr:cNvSpPr txBox="1"/>
              </xdr:nvSpPr>
              <xdr:spPr>
                <a:xfrm flipH="1">
                  <a:off x="9399650" y="4741307"/>
                  <a:ext cx="728359" cy="25205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000" i="0">
                      <a:latin typeface="Cambria Math" panose="02040503050406030204" pitchFamily="18" charset="0"/>
                    </a:rPr>
                    <a:t>𝑄</a:t>
                  </a:r>
                  <a:r>
                    <a:rPr lang="en-US" sz="1000" i="0">
                      <a:latin typeface="Cambria Math" panose="02040503050406030204" pitchFamily="18" charset="0"/>
                    </a:rPr>
                    <a:t> ̇_</a:t>
                  </a:r>
                  <a:r>
                    <a:rPr lang="es-CO" sz="1000" i="0">
                      <a:latin typeface="Cambria Math" panose="02040503050406030204" pitchFamily="18" charset="0"/>
                    </a:rPr>
                    <a:t>𝑣𝑒𝑛𝑡</a:t>
                  </a:r>
                  <a:endParaRPr lang="en-US" sz="1000"/>
                </a:p>
              </xdr:txBody>
            </xdr:sp>
          </mc:Fallback>
        </mc:AlternateContent>
      </xdr:grpSp>
      <xdr:sp macro="" textlink="">
        <xdr:nvSpPr>
          <xdr:cNvPr id="44" name="CuadroTexto 48">
            <a:extLst>
              <a:ext uri="{FF2B5EF4-FFF2-40B4-BE49-F238E27FC236}">
                <a16:creationId xmlns:a16="http://schemas.microsoft.com/office/drawing/2014/main" id="{15624866-6685-49BB-3698-15BB242C8AA0}"/>
              </a:ext>
            </a:extLst>
          </xdr:cNvPr>
          <xdr:cNvSpPr txBox="1"/>
        </xdr:nvSpPr>
        <xdr:spPr>
          <a:xfrm flipH="1">
            <a:off x="12523190" y="2428658"/>
            <a:ext cx="751927" cy="22581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Cambria Math" panose="02040503050406030204" pitchFamily="18" charset="0"/>
                <a:ea typeface="Cambria Math" panose="02040503050406030204" pitchFamily="18" charset="0"/>
              </a:rPr>
              <a:t>Biomass fuel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7" name="CuadroTexto 321">
                <a:extLst>
                  <a:ext uri="{FF2B5EF4-FFF2-40B4-BE49-F238E27FC236}">
                    <a16:creationId xmlns:a16="http://schemas.microsoft.com/office/drawing/2014/main" id="{7EDD2A95-4621-EBC6-874D-CEB902081264}"/>
                  </a:ext>
                </a:extLst>
              </xdr:cNvPr>
              <xdr:cNvSpPr txBox="1"/>
            </xdr:nvSpPr>
            <xdr:spPr>
              <a:xfrm>
                <a:off x="10822111" y="4237161"/>
                <a:ext cx="556053" cy="276829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𝑃𝑏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47" name="CuadroTexto 321">
                <a:extLst>
                  <a:ext uri="{FF2B5EF4-FFF2-40B4-BE49-F238E27FC236}">
                    <a16:creationId xmlns:a16="http://schemas.microsoft.com/office/drawing/2014/main" id="{7EDD2A95-4621-EBC6-874D-CEB902081264}"/>
                  </a:ext>
                </a:extLst>
              </xdr:cNvPr>
              <xdr:cNvSpPr txBox="1"/>
            </xdr:nvSpPr>
            <xdr:spPr>
              <a:xfrm>
                <a:off x="10822111" y="4237161"/>
                <a:ext cx="556053" cy="276829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𝑃𝑏</a:t>
                </a:r>
                <a:endParaRPr lang="en-US" sz="1100"/>
              </a:p>
            </xdr:txBody>
          </xdr:sp>
        </mc:Fallback>
      </mc:AlternateContent>
      <xdr:grpSp>
        <xdr:nvGrpSpPr>
          <xdr:cNvPr id="50" name="Grupo 49">
            <a:extLst>
              <a:ext uri="{FF2B5EF4-FFF2-40B4-BE49-F238E27FC236}">
                <a16:creationId xmlns:a16="http://schemas.microsoft.com/office/drawing/2014/main" id="{BB9FC47A-E555-5601-3753-ED0C8683313E}"/>
              </a:ext>
            </a:extLst>
          </xdr:cNvPr>
          <xdr:cNvGrpSpPr/>
        </xdr:nvGrpSpPr>
        <xdr:grpSpPr>
          <a:xfrm>
            <a:off x="8388871" y="7530315"/>
            <a:ext cx="10725454" cy="3229083"/>
            <a:chOff x="2144768" y="6247130"/>
            <a:chExt cx="12642650" cy="3151912"/>
          </a:xfrm>
        </xdr:grpSpPr>
        <xdr:sp macro="" textlink="">
          <xdr:nvSpPr>
            <xdr:cNvPr id="103" name="Rectángulo 102">
              <a:extLst>
                <a:ext uri="{FF2B5EF4-FFF2-40B4-BE49-F238E27FC236}">
                  <a16:creationId xmlns:a16="http://schemas.microsoft.com/office/drawing/2014/main" id="{29AFE802-731B-861C-1F71-F2E23081479B}"/>
                </a:ext>
              </a:extLst>
            </xdr:cNvPr>
            <xdr:cNvSpPr/>
          </xdr:nvSpPr>
          <xdr:spPr>
            <a:xfrm flipH="1">
              <a:off x="3409116" y="6881670"/>
              <a:ext cx="1080000" cy="54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Covered lagoon</a:t>
              </a:r>
            </a:p>
          </xdr:txBody>
        </xdr:sp>
        <xdr:sp macro="" textlink="">
          <xdr:nvSpPr>
            <xdr:cNvPr id="104" name="Elipse 103">
              <a:extLst>
                <a:ext uri="{FF2B5EF4-FFF2-40B4-BE49-F238E27FC236}">
                  <a16:creationId xmlns:a16="http://schemas.microsoft.com/office/drawing/2014/main" id="{53C62722-3C68-87E4-15D4-371F159531CD}"/>
                </a:ext>
              </a:extLst>
            </xdr:cNvPr>
            <xdr:cNvSpPr/>
          </xdr:nvSpPr>
          <xdr:spPr>
            <a:xfrm flipH="1">
              <a:off x="9474711" y="6935670"/>
              <a:ext cx="432000" cy="432000"/>
            </a:xfrm>
            <a:prstGeom prst="ellipse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CO" sz="1100"/>
                <a:t>G</a:t>
              </a:r>
            </a:p>
          </xdr:txBody>
        </xdr:sp>
        <xdr:sp macro="" textlink="">
          <xdr:nvSpPr>
            <xdr:cNvPr id="105" name="Rectángulo 104">
              <a:extLst>
                <a:ext uri="{FF2B5EF4-FFF2-40B4-BE49-F238E27FC236}">
                  <a16:creationId xmlns:a16="http://schemas.microsoft.com/office/drawing/2014/main" id="{1304E40E-F438-0FDB-13CE-B291E94D9641}"/>
                </a:ext>
              </a:extLst>
            </xdr:cNvPr>
            <xdr:cNvSpPr/>
          </xdr:nvSpPr>
          <xdr:spPr>
            <a:xfrm flipH="1">
              <a:off x="7740563" y="6881670"/>
              <a:ext cx="1080000" cy="54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Biogas engine</a:t>
              </a:r>
            </a:p>
          </xdr:txBody>
        </xdr:sp>
        <xdr:sp macro="" textlink="">
          <xdr:nvSpPr>
            <xdr:cNvPr id="106" name="Rectángulo 105">
              <a:extLst>
                <a:ext uri="{FF2B5EF4-FFF2-40B4-BE49-F238E27FC236}">
                  <a16:creationId xmlns:a16="http://schemas.microsoft.com/office/drawing/2014/main" id="{E7D550C5-436F-D905-49F2-ECE886F14E49}"/>
                </a:ext>
              </a:extLst>
            </xdr:cNvPr>
            <xdr:cNvSpPr/>
          </xdr:nvSpPr>
          <xdr:spPr>
            <a:xfrm flipH="1">
              <a:off x="5624129" y="6881670"/>
              <a:ext cx="1080000" cy="54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Biogas cleaning</a:t>
              </a:r>
            </a:p>
          </xdr:txBody>
        </xdr:sp>
        <xdr:cxnSp macro="">
          <xdr:nvCxnSpPr>
            <xdr:cNvPr id="107" name="Conector recto de flecha 106">
              <a:extLst>
                <a:ext uri="{FF2B5EF4-FFF2-40B4-BE49-F238E27FC236}">
                  <a16:creationId xmlns:a16="http://schemas.microsoft.com/office/drawing/2014/main" id="{3C60A369-1689-C854-577F-2501612310E4}"/>
                </a:ext>
              </a:extLst>
            </xdr:cNvPr>
            <xdr:cNvCxnSpPr>
              <a:stCxn id="105" idx="1"/>
              <a:endCxn id="104" idx="6"/>
            </xdr:cNvCxnSpPr>
          </xdr:nvCxnSpPr>
          <xdr:spPr>
            <a:xfrm>
              <a:off x="8820563" y="7151670"/>
              <a:ext cx="654148" cy="0"/>
            </a:xfrm>
            <a:prstGeom prst="straightConnector1">
              <a:avLst/>
            </a:prstGeom>
            <a:ln w="190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8" name="Conector recto de flecha 107">
              <a:extLst>
                <a:ext uri="{FF2B5EF4-FFF2-40B4-BE49-F238E27FC236}">
                  <a16:creationId xmlns:a16="http://schemas.microsoft.com/office/drawing/2014/main" id="{291ECC8F-E3D0-664A-94C4-38EF41F41317}"/>
                </a:ext>
              </a:extLst>
            </xdr:cNvPr>
            <xdr:cNvCxnSpPr>
              <a:stCxn id="106" idx="1"/>
              <a:endCxn id="105" idx="3"/>
            </xdr:cNvCxnSpPr>
          </xdr:nvCxnSpPr>
          <xdr:spPr>
            <a:xfrm>
              <a:off x="6704129" y="7151670"/>
              <a:ext cx="1036434" cy="0"/>
            </a:xfrm>
            <a:prstGeom prst="straightConnector1">
              <a:avLst/>
            </a:prstGeom>
            <a:ln w="190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9" name="Conector recto de flecha 108">
              <a:extLst>
                <a:ext uri="{FF2B5EF4-FFF2-40B4-BE49-F238E27FC236}">
                  <a16:creationId xmlns:a16="http://schemas.microsoft.com/office/drawing/2014/main" id="{34A7B3BC-BAFA-8650-68B6-C4A71D880376}"/>
                </a:ext>
              </a:extLst>
            </xdr:cNvPr>
            <xdr:cNvCxnSpPr>
              <a:stCxn id="103" idx="1"/>
              <a:endCxn id="106" idx="3"/>
            </xdr:cNvCxnSpPr>
          </xdr:nvCxnSpPr>
          <xdr:spPr>
            <a:xfrm>
              <a:off x="4489116" y="7151670"/>
              <a:ext cx="1135013" cy="0"/>
            </a:xfrm>
            <a:prstGeom prst="straightConnector1">
              <a:avLst/>
            </a:prstGeom>
            <a:ln w="19050">
              <a:prstDash val="dash"/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" name="Conector: angular 109">
              <a:extLst>
                <a:ext uri="{FF2B5EF4-FFF2-40B4-BE49-F238E27FC236}">
                  <a16:creationId xmlns:a16="http://schemas.microsoft.com/office/drawing/2014/main" id="{44A82634-EF37-EC6A-D4F3-8EB7C65DF192}"/>
                </a:ext>
              </a:extLst>
            </xdr:cNvPr>
            <xdr:cNvCxnSpPr>
              <a:stCxn id="105" idx="0"/>
            </xdr:cNvCxnSpPr>
          </xdr:nvCxnSpPr>
          <xdr:spPr>
            <a:xfrm rot="5400000" flipH="1" flipV="1">
              <a:off x="8352245" y="6347848"/>
              <a:ext cx="462140" cy="605505"/>
            </a:xfrm>
            <a:prstGeom prst="bentConnector2">
              <a:avLst/>
            </a:prstGeom>
            <a:ln w="190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11" name="CuadroTexto 109">
                  <a:extLst>
                    <a:ext uri="{FF2B5EF4-FFF2-40B4-BE49-F238E27FC236}">
                      <a16:creationId xmlns:a16="http://schemas.microsoft.com/office/drawing/2014/main" id="{8C3F992F-EB36-FB46-E389-F711563E7390}"/>
                    </a:ext>
                  </a:extLst>
                </xdr:cNvPr>
                <xdr:cNvSpPr txBox="1"/>
              </xdr:nvSpPr>
              <xdr:spPr>
                <a:xfrm flipH="1">
                  <a:off x="8917583" y="6299256"/>
                  <a:ext cx="918162" cy="24622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CO" sz="1000" i="1">
                            <a:latin typeface="Cambria Math" panose="02040503050406030204" pitchFamily="18" charset="0"/>
                          </a:rPr>
                          <m:t>𝐸𝑥h𝑎𝑢𝑠𝑡</m:t>
                        </m:r>
                        <m:r>
                          <a:rPr lang="es-CO" sz="100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CO" sz="1000" i="1">
                            <a:latin typeface="Cambria Math" panose="02040503050406030204" pitchFamily="18" charset="0"/>
                          </a:rPr>
                          <m:t>𝑔𝑎𝑠</m:t>
                        </m:r>
                      </m:oMath>
                    </m:oMathPara>
                  </a14:m>
                  <a:endParaRPr lang="en-US" sz="1000"/>
                </a:p>
              </xdr:txBody>
            </xdr:sp>
          </mc:Choice>
          <mc:Fallback xmlns="">
            <xdr:sp macro="" textlink="">
              <xdr:nvSpPr>
                <xdr:cNvPr id="111" name="CuadroTexto 109">
                  <a:extLst>
                    <a:ext uri="{FF2B5EF4-FFF2-40B4-BE49-F238E27FC236}">
                      <a16:creationId xmlns:a16="http://schemas.microsoft.com/office/drawing/2014/main" id="{8C3F992F-EB36-FB46-E389-F711563E7390}"/>
                    </a:ext>
                  </a:extLst>
                </xdr:cNvPr>
                <xdr:cNvSpPr txBox="1"/>
              </xdr:nvSpPr>
              <xdr:spPr>
                <a:xfrm flipH="1">
                  <a:off x="8917583" y="6299256"/>
                  <a:ext cx="918162" cy="24622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000" i="0">
                      <a:latin typeface="Cambria Math" panose="02040503050406030204" pitchFamily="18" charset="0"/>
                    </a:rPr>
                    <a:t>𝐸𝑥ℎ𝑎𝑢𝑠𝑡 𝑔𝑎𝑠</a:t>
                  </a:r>
                  <a:endParaRPr lang="en-US" sz="1000"/>
                </a:p>
              </xdr:txBody>
            </xdr:sp>
          </mc:Fallback>
        </mc:AlternateContent>
        <xdr:cxnSp macro="">
          <xdr:nvCxnSpPr>
            <xdr:cNvPr id="112" name="Conector recto de flecha 111">
              <a:extLst>
                <a:ext uri="{FF2B5EF4-FFF2-40B4-BE49-F238E27FC236}">
                  <a16:creationId xmlns:a16="http://schemas.microsoft.com/office/drawing/2014/main" id="{DE34D5CB-7D72-88C1-DE94-00394FA7FD81}"/>
                </a:ext>
              </a:extLst>
            </xdr:cNvPr>
            <xdr:cNvCxnSpPr>
              <a:cxnSpLocks/>
              <a:stCxn id="103" idx="2"/>
              <a:endCxn id="119" idx="0"/>
            </xdr:cNvCxnSpPr>
          </xdr:nvCxnSpPr>
          <xdr:spPr>
            <a:xfrm flipH="1">
              <a:off x="3947683" y="7421670"/>
              <a:ext cx="1433" cy="958248"/>
            </a:xfrm>
            <a:prstGeom prst="straightConnector1">
              <a:avLst/>
            </a:prstGeom>
            <a:ln w="190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13" name="CuadroTexto 119">
                  <a:extLst>
                    <a:ext uri="{FF2B5EF4-FFF2-40B4-BE49-F238E27FC236}">
                      <a16:creationId xmlns:a16="http://schemas.microsoft.com/office/drawing/2014/main" id="{551AB83B-1E12-0A7C-E573-CA2B739450AF}"/>
                    </a:ext>
                  </a:extLst>
                </xdr:cNvPr>
                <xdr:cNvSpPr txBox="1"/>
              </xdr:nvSpPr>
              <xdr:spPr>
                <a:xfrm flipH="1">
                  <a:off x="3875661" y="9053859"/>
                  <a:ext cx="918162" cy="249408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CO" sz="1000" b="0" i="1">
                            <a:latin typeface="Cambria Math" panose="02040503050406030204" pitchFamily="18" charset="0"/>
                          </a:rPr>
                          <m:t>𝑆𝑙𝑢𝑑𝑔𝑒</m:t>
                        </m:r>
                      </m:oMath>
                    </m:oMathPara>
                  </a14:m>
                  <a:endParaRPr lang="en-US" sz="1000"/>
                </a:p>
              </xdr:txBody>
            </xdr:sp>
          </mc:Choice>
          <mc:Fallback xmlns="">
            <xdr:sp macro="" textlink="">
              <xdr:nvSpPr>
                <xdr:cNvPr id="113" name="CuadroTexto 119">
                  <a:extLst>
                    <a:ext uri="{FF2B5EF4-FFF2-40B4-BE49-F238E27FC236}">
                      <a16:creationId xmlns:a16="http://schemas.microsoft.com/office/drawing/2014/main" id="{551AB83B-1E12-0A7C-E573-CA2B739450AF}"/>
                    </a:ext>
                  </a:extLst>
                </xdr:cNvPr>
                <xdr:cNvSpPr txBox="1"/>
              </xdr:nvSpPr>
              <xdr:spPr>
                <a:xfrm flipH="1">
                  <a:off x="3875661" y="9053859"/>
                  <a:ext cx="918162" cy="249408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000" b="0" i="0">
                      <a:latin typeface="Cambria Math" panose="02040503050406030204" pitchFamily="18" charset="0"/>
                    </a:rPr>
                    <a:t>𝑆𝑙𝑢𝑑𝑔𝑒</a:t>
                  </a:r>
                  <a:endParaRPr lang="en-US" sz="1000"/>
                </a:p>
              </xdr:txBody>
            </xdr:sp>
          </mc:Fallback>
        </mc:AlternateContent>
        <xdr:cxnSp macro="">
          <xdr:nvCxnSpPr>
            <xdr:cNvPr id="114" name="Conector recto de flecha 113">
              <a:extLst>
                <a:ext uri="{FF2B5EF4-FFF2-40B4-BE49-F238E27FC236}">
                  <a16:creationId xmlns:a16="http://schemas.microsoft.com/office/drawing/2014/main" id="{93C37665-6495-28BE-1FE4-F938327EB984}"/>
                </a:ext>
              </a:extLst>
            </xdr:cNvPr>
            <xdr:cNvCxnSpPr>
              <a:cxnSpLocks/>
              <a:stCxn id="104" idx="2"/>
            </xdr:cNvCxnSpPr>
          </xdr:nvCxnSpPr>
          <xdr:spPr>
            <a:xfrm flipV="1">
              <a:off x="9906711" y="7141743"/>
              <a:ext cx="4880707" cy="9927"/>
            </a:xfrm>
            <a:prstGeom prst="straightConnector1">
              <a:avLst/>
            </a:prstGeom>
            <a:ln w="19050" cap="flat" cmpd="sng" algn="ctr">
              <a:solidFill>
                <a:schemeClr val="accent4"/>
              </a:solidFill>
              <a:prstDash val="dash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grpSp>
          <xdr:nvGrpSpPr>
            <xdr:cNvPr id="115" name="Grupo 114">
              <a:extLst>
                <a:ext uri="{FF2B5EF4-FFF2-40B4-BE49-F238E27FC236}">
                  <a16:creationId xmlns:a16="http://schemas.microsoft.com/office/drawing/2014/main" id="{336C0E92-95AE-6F5E-1BA4-28BC14E86C89}"/>
                </a:ext>
              </a:extLst>
            </xdr:cNvPr>
            <xdr:cNvGrpSpPr/>
          </xdr:nvGrpSpPr>
          <xdr:grpSpPr>
            <a:xfrm>
              <a:off x="9165813" y="7073422"/>
              <a:ext cx="28575" cy="144000"/>
              <a:chOff x="4488316" y="6969419"/>
              <a:chExt cx="28575" cy="144000"/>
            </a:xfrm>
          </xdr:grpSpPr>
          <xdr:cxnSp macro="">
            <xdr:nvCxnSpPr>
              <xdr:cNvPr id="122" name="Conector recto 121">
                <a:extLst>
                  <a:ext uri="{FF2B5EF4-FFF2-40B4-BE49-F238E27FC236}">
                    <a16:creationId xmlns:a16="http://schemas.microsoft.com/office/drawing/2014/main" id="{9FEB3920-0522-098D-E4D4-2E178CB08DEE}"/>
                  </a:ext>
                </a:extLst>
              </xdr:cNvPr>
              <xdr:cNvCxnSpPr/>
            </xdr:nvCxnSpPr>
            <xdr:spPr>
              <a:xfrm>
                <a:off x="4488316" y="6969419"/>
                <a:ext cx="0" cy="144000"/>
              </a:xfrm>
              <a:prstGeom prst="line">
                <a:avLst/>
              </a:prstGeom>
              <a:ln w="19050"/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3" name="Conector recto 122">
                <a:extLst>
                  <a:ext uri="{FF2B5EF4-FFF2-40B4-BE49-F238E27FC236}">
                    <a16:creationId xmlns:a16="http://schemas.microsoft.com/office/drawing/2014/main" id="{4B3A6BD9-0D73-72E9-CB30-9EED57B4F69B}"/>
                  </a:ext>
                </a:extLst>
              </xdr:cNvPr>
              <xdr:cNvCxnSpPr/>
            </xdr:nvCxnSpPr>
            <xdr:spPr>
              <a:xfrm>
                <a:off x="4516891" y="6969419"/>
                <a:ext cx="0" cy="144000"/>
              </a:xfrm>
              <a:prstGeom prst="line">
                <a:avLst/>
              </a:prstGeom>
              <a:ln w="19050"/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16" name="Conector recto de flecha 115">
              <a:extLst>
                <a:ext uri="{FF2B5EF4-FFF2-40B4-BE49-F238E27FC236}">
                  <a16:creationId xmlns:a16="http://schemas.microsoft.com/office/drawing/2014/main" id="{BA57EB1A-5377-AB51-4668-0D847653B6F7}"/>
                </a:ext>
              </a:extLst>
            </xdr:cNvPr>
            <xdr:cNvCxnSpPr/>
          </xdr:nvCxnSpPr>
          <xdr:spPr>
            <a:xfrm flipV="1">
              <a:off x="10223855" y="6575389"/>
              <a:ext cx="0" cy="582314"/>
            </a:xfrm>
            <a:prstGeom prst="straightConnector1">
              <a:avLst/>
            </a:prstGeom>
            <a:ln w="19050" cap="flat" cmpd="sng" algn="ctr">
              <a:solidFill>
                <a:schemeClr val="accent4"/>
              </a:solidFill>
              <a:prstDash val="dash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17" name="CuadroTexto 329">
                  <a:extLst>
                    <a:ext uri="{FF2B5EF4-FFF2-40B4-BE49-F238E27FC236}">
                      <a16:creationId xmlns:a16="http://schemas.microsoft.com/office/drawing/2014/main" id="{0FD22D4E-F4FF-CFF9-1E03-90C7593C60E3}"/>
                    </a:ext>
                  </a:extLst>
                </xdr:cNvPr>
                <xdr:cNvSpPr txBox="1"/>
              </xdr:nvSpPr>
              <xdr:spPr>
                <a:xfrm>
                  <a:off x="9903403" y="6247130"/>
                  <a:ext cx="728359" cy="266933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̇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</m:acc>
                          </m:e>
                          <m:sub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𝑎𝑢𝑥</m:t>
                            </m:r>
                          </m:sub>
                        </m:sSub>
                      </m:oMath>
                    </m:oMathPara>
                  </a14:m>
                  <a:endParaRPr lang="en-US" sz="1100"/>
                </a:p>
              </xdr:txBody>
            </xdr:sp>
          </mc:Choice>
          <mc:Fallback xmlns="">
            <xdr:sp macro="" textlink="">
              <xdr:nvSpPr>
                <xdr:cNvPr id="117" name="CuadroTexto 329">
                  <a:extLst>
                    <a:ext uri="{FF2B5EF4-FFF2-40B4-BE49-F238E27FC236}">
                      <a16:creationId xmlns:a16="http://schemas.microsoft.com/office/drawing/2014/main" id="{0FD22D4E-F4FF-CFF9-1E03-90C7593C60E3}"/>
                    </a:ext>
                  </a:extLst>
                </xdr:cNvPr>
                <xdr:cNvSpPr txBox="1"/>
              </xdr:nvSpPr>
              <xdr:spPr>
                <a:xfrm>
                  <a:off x="9903403" y="6247130"/>
                  <a:ext cx="728359" cy="266933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100" i="0">
                      <a:latin typeface="Cambria Math" panose="02040503050406030204" pitchFamily="18" charset="0"/>
                    </a:rPr>
                    <a:t>𝑊</a:t>
                  </a:r>
                  <a:r>
                    <a:rPr lang="en-US" sz="1100" i="0">
                      <a:latin typeface="Cambria Math" panose="02040503050406030204" pitchFamily="18" charset="0"/>
                    </a:rPr>
                    <a:t> ̇_</a:t>
                  </a:r>
                  <a:r>
                    <a:rPr lang="es-CO" sz="1100" i="0">
                      <a:latin typeface="Cambria Math" panose="02040503050406030204" pitchFamily="18" charset="0"/>
                    </a:rPr>
                    <a:t>𝑎𝑢𝑥</a:t>
                  </a:r>
                  <a:endParaRPr lang="en-US" sz="11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18" name="CuadroTexto 331">
                  <a:extLst>
                    <a:ext uri="{FF2B5EF4-FFF2-40B4-BE49-F238E27FC236}">
                      <a16:creationId xmlns:a16="http://schemas.microsoft.com/office/drawing/2014/main" id="{A3D38641-284B-FCF5-7A04-B9BC095DB9C4}"/>
                    </a:ext>
                  </a:extLst>
                </xdr:cNvPr>
                <xdr:cNvSpPr txBox="1"/>
              </xdr:nvSpPr>
              <xdr:spPr>
                <a:xfrm>
                  <a:off x="10267582" y="6831623"/>
                  <a:ext cx="728359" cy="266933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̇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</m:acc>
                          </m:e>
                          <m:sub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𝑛𝑒𝑡</m:t>
                            </m:r>
                          </m:sub>
                        </m:sSub>
                      </m:oMath>
                    </m:oMathPara>
                  </a14:m>
                  <a:endParaRPr lang="en-US" sz="1100"/>
                </a:p>
              </xdr:txBody>
            </xdr:sp>
          </mc:Choice>
          <mc:Fallback xmlns="">
            <xdr:sp macro="" textlink="">
              <xdr:nvSpPr>
                <xdr:cNvPr id="118" name="CuadroTexto 331">
                  <a:extLst>
                    <a:ext uri="{FF2B5EF4-FFF2-40B4-BE49-F238E27FC236}">
                      <a16:creationId xmlns:a16="http://schemas.microsoft.com/office/drawing/2014/main" id="{A3D38641-284B-FCF5-7A04-B9BC095DB9C4}"/>
                    </a:ext>
                  </a:extLst>
                </xdr:cNvPr>
                <xdr:cNvSpPr txBox="1"/>
              </xdr:nvSpPr>
              <xdr:spPr>
                <a:xfrm>
                  <a:off x="10267582" y="6831623"/>
                  <a:ext cx="728359" cy="266933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100" i="0">
                      <a:latin typeface="Cambria Math" panose="02040503050406030204" pitchFamily="18" charset="0"/>
                    </a:rPr>
                    <a:t>𝑊</a:t>
                  </a:r>
                  <a:r>
                    <a:rPr lang="en-US" sz="1100" i="0">
                      <a:latin typeface="Cambria Math" panose="02040503050406030204" pitchFamily="18" charset="0"/>
                    </a:rPr>
                    <a:t> ̇_</a:t>
                  </a:r>
                  <a:r>
                    <a:rPr lang="es-CO" sz="1100" i="0">
                      <a:latin typeface="Cambria Math" panose="02040503050406030204" pitchFamily="18" charset="0"/>
                    </a:rPr>
                    <a:t>𝑛𝑒𝑡</a:t>
                  </a:r>
                  <a:endParaRPr lang="en-US" sz="1100"/>
                </a:p>
              </xdr:txBody>
            </xdr:sp>
          </mc:Fallback>
        </mc:AlternateContent>
        <xdr:sp macro="" textlink="">
          <xdr:nvSpPr>
            <xdr:cNvPr id="119" name="Rectángulo 118">
              <a:extLst>
                <a:ext uri="{FF2B5EF4-FFF2-40B4-BE49-F238E27FC236}">
                  <a16:creationId xmlns:a16="http://schemas.microsoft.com/office/drawing/2014/main" id="{4A06959B-914E-FF38-CA8D-1150204A3E0D}"/>
                </a:ext>
              </a:extLst>
            </xdr:cNvPr>
            <xdr:cNvSpPr/>
          </xdr:nvSpPr>
          <xdr:spPr>
            <a:xfrm flipH="1">
              <a:off x="3407683" y="8379918"/>
              <a:ext cx="1080000" cy="54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Facultative Lagoon</a:t>
              </a:r>
            </a:p>
          </xdr:txBody>
        </xdr:sp>
        <xdr:cxnSp macro="">
          <xdr:nvCxnSpPr>
            <xdr:cNvPr id="120" name="Conector recto de flecha 119">
              <a:extLst>
                <a:ext uri="{FF2B5EF4-FFF2-40B4-BE49-F238E27FC236}">
                  <a16:creationId xmlns:a16="http://schemas.microsoft.com/office/drawing/2014/main" id="{CE49F8D9-3324-9AAA-CE75-B9E16F1C62B9}"/>
                </a:ext>
              </a:extLst>
            </xdr:cNvPr>
            <xdr:cNvCxnSpPr>
              <a:cxnSpLocks/>
            </xdr:cNvCxnSpPr>
          </xdr:nvCxnSpPr>
          <xdr:spPr>
            <a:xfrm>
              <a:off x="3949116" y="8919918"/>
              <a:ext cx="0" cy="479124"/>
            </a:xfrm>
            <a:prstGeom prst="straightConnector1">
              <a:avLst/>
            </a:prstGeom>
            <a:ln w="190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21" name="CuadroTexto 119">
                  <a:extLst>
                    <a:ext uri="{FF2B5EF4-FFF2-40B4-BE49-F238E27FC236}">
                      <a16:creationId xmlns:a16="http://schemas.microsoft.com/office/drawing/2014/main" id="{71FF2B2F-0B7E-3336-77BA-2018B7A3F203}"/>
                    </a:ext>
                  </a:extLst>
                </xdr:cNvPr>
                <xdr:cNvSpPr txBox="1"/>
              </xdr:nvSpPr>
              <xdr:spPr>
                <a:xfrm flipH="1">
                  <a:off x="2144768" y="7569839"/>
                  <a:ext cx="918162" cy="249408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CO" sz="1000" b="0" i="1">
                            <a:latin typeface="Cambria Math" panose="02040503050406030204" pitchFamily="18" charset="0"/>
                          </a:rPr>
                          <m:t>𝐸𝑓𝑙𝑢𝑒𝑛𝑡</m:t>
                        </m:r>
                      </m:oMath>
                    </m:oMathPara>
                  </a14:m>
                  <a:endParaRPr lang="en-US" sz="1000"/>
                </a:p>
              </xdr:txBody>
            </xdr:sp>
          </mc:Choice>
          <mc:Fallback xmlns="">
            <xdr:sp macro="" textlink="">
              <xdr:nvSpPr>
                <xdr:cNvPr id="121" name="CuadroTexto 119">
                  <a:extLst>
                    <a:ext uri="{FF2B5EF4-FFF2-40B4-BE49-F238E27FC236}">
                      <a16:creationId xmlns:a16="http://schemas.microsoft.com/office/drawing/2014/main" id="{71FF2B2F-0B7E-3336-77BA-2018B7A3F203}"/>
                    </a:ext>
                  </a:extLst>
                </xdr:cNvPr>
                <xdr:cNvSpPr txBox="1"/>
              </xdr:nvSpPr>
              <xdr:spPr>
                <a:xfrm flipH="1">
                  <a:off x="2144768" y="7569839"/>
                  <a:ext cx="918162" cy="249408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000" b="0" i="0">
                      <a:latin typeface="Cambria Math" panose="02040503050406030204" pitchFamily="18" charset="0"/>
                    </a:rPr>
                    <a:t>𝐸𝑓𝑙𝑢𝑒𝑛𝑡</a:t>
                  </a:r>
                  <a:endParaRPr lang="en-US" sz="1000"/>
                </a:p>
              </xdr:txBody>
            </xdr:sp>
          </mc:Fallback>
        </mc:AlternateContent>
      </xdr:grpSp>
      <xdr:cxnSp macro="">
        <xdr:nvCxnSpPr>
          <xdr:cNvPr id="51" name="Conector recto de flecha 50">
            <a:extLst>
              <a:ext uri="{FF2B5EF4-FFF2-40B4-BE49-F238E27FC236}">
                <a16:creationId xmlns:a16="http://schemas.microsoft.com/office/drawing/2014/main" id="{DB8F861B-C46E-41F2-57ED-382EB4BC595B}"/>
              </a:ext>
            </a:extLst>
          </xdr:cNvPr>
          <xdr:cNvCxnSpPr/>
        </xdr:nvCxnSpPr>
        <xdr:spPr>
          <a:xfrm>
            <a:off x="6754692" y="1827068"/>
            <a:ext cx="0" cy="42918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Conector recto de flecha 51">
            <a:extLst>
              <a:ext uri="{FF2B5EF4-FFF2-40B4-BE49-F238E27FC236}">
                <a16:creationId xmlns:a16="http://schemas.microsoft.com/office/drawing/2014/main" id="{7DCCDD13-CEEB-C14B-0DDF-FFF957BB9B53}"/>
              </a:ext>
            </a:extLst>
          </xdr:cNvPr>
          <xdr:cNvCxnSpPr/>
        </xdr:nvCxnSpPr>
        <xdr:spPr>
          <a:xfrm>
            <a:off x="8729611" y="1827068"/>
            <a:ext cx="0" cy="42918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Conector recto de flecha 52">
            <a:extLst>
              <a:ext uri="{FF2B5EF4-FFF2-40B4-BE49-F238E27FC236}">
                <a16:creationId xmlns:a16="http://schemas.microsoft.com/office/drawing/2014/main" id="{193AB2A7-A380-9DC5-C390-7309723E25C7}"/>
              </a:ext>
            </a:extLst>
          </xdr:cNvPr>
          <xdr:cNvCxnSpPr/>
        </xdr:nvCxnSpPr>
        <xdr:spPr>
          <a:xfrm>
            <a:off x="10580707" y="1827068"/>
            <a:ext cx="0" cy="42918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Conector: angular 55">
            <a:extLst>
              <a:ext uri="{FF2B5EF4-FFF2-40B4-BE49-F238E27FC236}">
                <a16:creationId xmlns:a16="http://schemas.microsoft.com/office/drawing/2014/main" id="{B18C290D-16C4-001C-EF6A-7AA8366F74F3}"/>
              </a:ext>
            </a:extLst>
          </xdr:cNvPr>
          <xdr:cNvCxnSpPr>
            <a:stCxn id="128" idx="0"/>
          </xdr:cNvCxnSpPr>
        </xdr:nvCxnSpPr>
        <xdr:spPr>
          <a:xfrm rot="16200000" flipV="1">
            <a:off x="9874699" y="3347893"/>
            <a:ext cx="4049561" cy="1010221"/>
          </a:xfrm>
          <a:prstGeom prst="bentConnector3">
            <a:avLst>
              <a:gd name="adj1" fmla="val 99711"/>
            </a:avLst>
          </a:prstGeom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Conector recto 56">
            <a:extLst>
              <a:ext uri="{FF2B5EF4-FFF2-40B4-BE49-F238E27FC236}">
                <a16:creationId xmlns:a16="http://schemas.microsoft.com/office/drawing/2014/main" id="{7AB75241-78D2-660B-8379-8F49BBFDFA2E}"/>
              </a:ext>
            </a:extLst>
          </xdr:cNvPr>
          <xdr:cNvCxnSpPr/>
        </xdr:nvCxnSpPr>
        <xdr:spPr>
          <a:xfrm>
            <a:off x="2275968" y="3609336"/>
            <a:ext cx="9142811" cy="0"/>
          </a:xfrm>
          <a:prstGeom prst="line">
            <a:avLst/>
          </a:prstGeom>
          <a:ln w="28575"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A68B1116-5498-3FC0-11B4-4EECE27E369E}"/>
              </a:ext>
            </a:extLst>
          </xdr:cNvPr>
          <xdr:cNvCxnSpPr>
            <a:cxnSpLocks/>
          </xdr:cNvCxnSpPr>
        </xdr:nvCxnSpPr>
        <xdr:spPr>
          <a:xfrm flipH="1" flipV="1">
            <a:off x="3192619" y="2833944"/>
            <a:ext cx="22610" cy="775394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Conector recto de flecha 58">
            <a:extLst>
              <a:ext uri="{FF2B5EF4-FFF2-40B4-BE49-F238E27FC236}">
                <a16:creationId xmlns:a16="http://schemas.microsoft.com/office/drawing/2014/main" id="{23BA967C-09F8-2DD2-9BE1-4F119A4161FA}"/>
              </a:ext>
            </a:extLst>
          </xdr:cNvPr>
          <xdr:cNvCxnSpPr>
            <a:cxnSpLocks/>
          </xdr:cNvCxnSpPr>
        </xdr:nvCxnSpPr>
        <xdr:spPr>
          <a:xfrm flipH="1" flipV="1">
            <a:off x="5106751" y="2828566"/>
            <a:ext cx="15080" cy="780772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Conector recto de flecha 59">
            <a:extLst>
              <a:ext uri="{FF2B5EF4-FFF2-40B4-BE49-F238E27FC236}">
                <a16:creationId xmlns:a16="http://schemas.microsoft.com/office/drawing/2014/main" id="{CA6BFBB8-12FC-6370-A76C-078ED719A00F}"/>
              </a:ext>
            </a:extLst>
          </xdr:cNvPr>
          <xdr:cNvCxnSpPr>
            <a:cxnSpLocks/>
          </xdr:cNvCxnSpPr>
        </xdr:nvCxnSpPr>
        <xdr:spPr>
          <a:xfrm flipV="1">
            <a:off x="6328526" y="2822518"/>
            <a:ext cx="0" cy="786819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ctor recto de flecha 60">
            <a:extLst>
              <a:ext uri="{FF2B5EF4-FFF2-40B4-BE49-F238E27FC236}">
                <a16:creationId xmlns:a16="http://schemas.microsoft.com/office/drawing/2014/main" id="{BE5264C2-B419-FC76-233B-C125B801AD61}"/>
              </a:ext>
            </a:extLst>
          </xdr:cNvPr>
          <xdr:cNvCxnSpPr>
            <a:cxnSpLocks/>
          </xdr:cNvCxnSpPr>
        </xdr:nvCxnSpPr>
        <xdr:spPr>
          <a:xfrm flipV="1">
            <a:off x="8810261" y="2822518"/>
            <a:ext cx="0" cy="786819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Conector recto de flecha 61">
            <a:extLst>
              <a:ext uri="{FF2B5EF4-FFF2-40B4-BE49-F238E27FC236}">
                <a16:creationId xmlns:a16="http://schemas.microsoft.com/office/drawing/2014/main" id="{27172580-4509-51F0-674E-29843887CD5B}"/>
              </a:ext>
            </a:extLst>
          </xdr:cNvPr>
          <xdr:cNvCxnSpPr>
            <a:cxnSpLocks/>
          </xdr:cNvCxnSpPr>
        </xdr:nvCxnSpPr>
        <xdr:spPr>
          <a:xfrm flipV="1">
            <a:off x="10580707" y="2811652"/>
            <a:ext cx="0" cy="797685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Conector recto de flecha 62">
            <a:extLst>
              <a:ext uri="{FF2B5EF4-FFF2-40B4-BE49-F238E27FC236}">
                <a16:creationId xmlns:a16="http://schemas.microsoft.com/office/drawing/2014/main" id="{6F0C58BF-4227-32E7-1281-3A8E957E9DC1}"/>
              </a:ext>
            </a:extLst>
          </xdr:cNvPr>
          <xdr:cNvCxnSpPr>
            <a:cxnSpLocks/>
          </xdr:cNvCxnSpPr>
        </xdr:nvCxnSpPr>
        <xdr:spPr>
          <a:xfrm>
            <a:off x="7048279" y="3609338"/>
            <a:ext cx="0" cy="588277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Conector recto de flecha 63">
            <a:extLst>
              <a:ext uri="{FF2B5EF4-FFF2-40B4-BE49-F238E27FC236}">
                <a16:creationId xmlns:a16="http://schemas.microsoft.com/office/drawing/2014/main" id="{F277216D-C48E-5643-78B5-F08A6C6F5602}"/>
              </a:ext>
            </a:extLst>
          </xdr:cNvPr>
          <xdr:cNvCxnSpPr>
            <a:cxnSpLocks/>
          </xdr:cNvCxnSpPr>
        </xdr:nvCxnSpPr>
        <xdr:spPr>
          <a:xfrm>
            <a:off x="4457683" y="3609338"/>
            <a:ext cx="0" cy="588277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Conector recto de flecha 64">
            <a:extLst>
              <a:ext uri="{FF2B5EF4-FFF2-40B4-BE49-F238E27FC236}">
                <a16:creationId xmlns:a16="http://schemas.microsoft.com/office/drawing/2014/main" id="{7023DDAB-B0C1-F477-2DA9-415F509BFE55}"/>
              </a:ext>
            </a:extLst>
          </xdr:cNvPr>
          <xdr:cNvCxnSpPr>
            <a:cxnSpLocks/>
          </xdr:cNvCxnSpPr>
        </xdr:nvCxnSpPr>
        <xdr:spPr>
          <a:xfrm flipV="1">
            <a:off x="11116425" y="3609338"/>
            <a:ext cx="9902" cy="588277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Conector recto de flecha 65">
            <a:extLst>
              <a:ext uri="{FF2B5EF4-FFF2-40B4-BE49-F238E27FC236}">
                <a16:creationId xmlns:a16="http://schemas.microsoft.com/office/drawing/2014/main" id="{A032921A-07A6-F120-A69B-ADB172A1897A}"/>
              </a:ext>
            </a:extLst>
          </xdr:cNvPr>
          <xdr:cNvCxnSpPr>
            <a:cxnSpLocks/>
          </xdr:cNvCxnSpPr>
        </xdr:nvCxnSpPr>
        <xdr:spPr>
          <a:xfrm>
            <a:off x="4780957" y="4768227"/>
            <a:ext cx="0" cy="316256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Conector recto de flecha 66">
            <a:extLst>
              <a:ext uri="{FF2B5EF4-FFF2-40B4-BE49-F238E27FC236}">
                <a16:creationId xmlns:a16="http://schemas.microsoft.com/office/drawing/2014/main" id="{513B8484-70C1-B57D-782F-21A7EF9F4639}"/>
              </a:ext>
            </a:extLst>
          </xdr:cNvPr>
          <xdr:cNvCxnSpPr>
            <a:cxnSpLocks/>
          </xdr:cNvCxnSpPr>
        </xdr:nvCxnSpPr>
        <xdr:spPr>
          <a:xfrm>
            <a:off x="2564391" y="3609336"/>
            <a:ext cx="0" cy="1649689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Conector recto 67">
            <a:extLst>
              <a:ext uri="{FF2B5EF4-FFF2-40B4-BE49-F238E27FC236}">
                <a16:creationId xmlns:a16="http://schemas.microsoft.com/office/drawing/2014/main" id="{FF014281-3973-4C35-3E40-AD6A8D12E03A}"/>
              </a:ext>
            </a:extLst>
          </xdr:cNvPr>
          <xdr:cNvCxnSpPr>
            <a:cxnSpLocks/>
          </xdr:cNvCxnSpPr>
        </xdr:nvCxnSpPr>
        <xdr:spPr>
          <a:xfrm>
            <a:off x="19087111" y="4794663"/>
            <a:ext cx="29086" cy="4569165"/>
          </a:xfrm>
          <a:prstGeom prst="line">
            <a:avLst/>
          </a:prstGeom>
          <a:ln w="28575"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3" name="CuadroTexto 361">
            <a:extLst>
              <a:ext uri="{FF2B5EF4-FFF2-40B4-BE49-F238E27FC236}">
                <a16:creationId xmlns:a16="http://schemas.microsoft.com/office/drawing/2014/main" id="{9F13F831-1767-261E-858A-99A8009D8906}"/>
              </a:ext>
            </a:extLst>
          </xdr:cNvPr>
          <xdr:cNvSpPr txBox="1"/>
        </xdr:nvSpPr>
        <xdr:spPr>
          <a:xfrm>
            <a:off x="4510948" y="5073055"/>
            <a:ext cx="555187" cy="27155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EFB</a:t>
            </a:r>
          </a:p>
        </xdr:txBody>
      </xdr:sp>
      <xdr:sp macro="" textlink="">
        <xdr:nvSpPr>
          <xdr:cNvPr id="74" name="CuadroTexto 364">
            <a:extLst>
              <a:ext uri="{FF2B5EF4-FFF2-40B4-BE49-F238E27FC236}">
                <a16:creationId xmlns:a16="http://schemas.microsoft.com/office/drawing/2014/main" id="{3F239BED-291D-BC40-733D-3544E62EC836}"/>
              </a:ext>
            </a:extLst>
          </xdr:cNvPr>
          <xdr:cNvSpPr txBox="1"/>
        </xdr:nvSpPr>
        <xdr:spPr>
          <a:xfrm>
            <a:off x="7918937" y="5100653"/>
            <a:ext cx="465016" cy="22348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PKS</a:t>
            </a:r>
          </a:p>
        </xdr:txBody>
      </xdr:sp>
      <xdr:cxnSp macro="">
        <xdr:nvCxnSpPr>
          <xdr:cNvPr id="75" name="Conector recto de flecha 74">
            <a:extLst>
              <a:ext uri="{FF2B5EF4-FFF2-40B4-BE49-F238E27FC236}">
                <a16:creationId xmlns:a16="http://schemas.microsoft.com/office/drawing/2014/main" id="{1B0DB2F1-5B19-DF2A-03FD-FE3BE37F96B7}"/>
              </a:ext>
            </a:extLst>
          </xdr:cNvPr>
          <xdr:cNvCxnSpPr>
            <a:cxnSpLocks/>
          </xdr:cNvCxnSpPr>
        </xdr:nvCxnSpPr>
        <xdr:spPr>
          <a:xfrm flipV="1">
            <a:off x="10765917" y="2388368"/>
            <a:ext cx="455380" cy="117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6" name="CuadroTexto 368">
            <a:extLst>
              <a:ext uri="{FF2B5EF4-FFF2-40B4-BE49-F238E27FC236}">
                <a16:creationId xmlns:a16="http://schemas.microsoft.com/office/drawing/2014/main" id="{B54B295A-E578-E087-718D-4C030EC28B5C}"/>
              </a:ext>
            </a:extLst>
          </xdr:cNvPr>
          <xdr:cNvSpPr txBox="1"/>
        </xdr:nvSpPr>
        <xdr:spPr>
          <a:xfrm>
            <a:off x="11068609" y="2245053"/>
            <a:ext cx="641778" cy="27155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CPO</a:t>
            </a:r>
          </a:p>
        </xdr:txBody>
      </xdr:sp>
      <xdr:sp macro="" textlink="">
        <xdr:nvSpPr>
          <xdr:cNvPr id="81" name="CuadroTexto 361">
            <a:extLst>
              <a:ext uri="{FF2B5EF4-FFF2-40B4-BE49-F238E27FC236}">
                <a16:creationId xmlns:a16="http://schemas.microsoft.com/office/drawing/2014/main" id="{B5E7B9E8-4E88-D251-37D4-D7B8C11BB999}"/>
              </a:ext>
            </a:extLst>
          </xdr:cNvPr>
          <xdr:cNvSpPr txBox="1"/>
        </xdr:nvSpPr>
        <xdr:spPr>
          <a:xfrm>
            <a:off x="5323517" y="4534901"/>
            <a:ext cx="897785" cy="26936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To </a:t>
            </a:r>
          </a:p>
          <a:p>
            <a:pPr algn="ctr"/>
            <a:r>
              <a:rPr lang="en-US" sz="1100"/>
              <a:t>clarification</a:t>
            </a:r>
          </a:p>
          <a:p>
            <a:pPr algn="ctr"/>
            <a:endParaRPr lang="en-US" sz="1100"/>
          </a:p>
        </xdr:txBody>
      </xdr:sp>
      <xdr:cxnSp macro="">
        <xdr:nvCxnSpPr>
          <xdr:cNvPr id="82" name="Conector: angular 81">
            <a:extLst>
              <a:ext uri="{FF2B5EF4-FFF2-40B4-BE49-F238E27FC236}">
                <a16:creationId xmlns:a16="http://schemas.microsoft.com/office/drawing/2014/main" id="{37E1CB57-8AE8-03CD-EBBE-711065C758D3}"/>
              </a:ext>
            </a:extLst>
          </xdr:cNvPr>
          <xdr:cNvCxnSpPr/>
        </xdr:nvCxnSpPr>
        <xdr:spPr>
          <a:xfrm rot="10800000">
            <a:off x="8887655" y="4799242"/>
            <a:ext cx="3460734" cy="1186730"/>
          </a:xfrm>
          <a:prstGeom prst="bentConnector3">
            <a:avLst>
              <a:gd name="adj1" fmla="val 100139"/>
            </a:avLst>
          </a:prstGeom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Conector recto de flecha 82">
            <a:extLst>
              <a:ext uri="{FF2B5EF4-FFF2-40B4-BE49-F238E27FC236}">
                <a16:creationId xmlns:a16="http://schemas.microsoft.com/office/drawing/2014/main" id="{5FEA6805-6A81-BCED-1919-D748263E7832}"/>
              </a:ext>
            </a:extLst>
          </xdr:cNvPr>
          <xdr:cNvCxnSpPr/>
        </xdr:nvCxnSpPr>
        <xdr:spPr>
          <a:xfrm flipH="1">
            <a:off x="8299481" y="4804071"/>
            <a:ext cx="1066" cy="219240"/>
          </a:xfrm>
          <a:prstGeom prst="straightConnector1">
            <a:avLst/>
          </a:prstGeom>
          <a:ln w="19050">
            <a:prstDash val="dash"/>
            <a:headEnd type="none" w="med" len="med"/>
            <a:tailEnd type="triangl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5" name="Conector recto de flecha 84">
            <a:extLst>
              <a:ext uri="{FF2B5EF4-FFF2-40B4-BE49-F238E27FC236}">
                <a16:creationId xmlns:a16="http://schemas.microsoft.com/office/drawing/2014/main" id="{9D688D4E-9D1B-DDFD-5E39-5B2E54FBD078}"/>
              </a:ext>
            </a:extLst>
          </xdr:cNvPr>
          <xdr:cNvCxnSpPr>
            <a:cxnSpLocks/>
          </xdr:cNvCxnSpPr>
        </xdr:nvCxnSpPr>
        <xdr:spPr>
          <a:xfrm flipH="1">
            <a:off x="6679613" y="4774080"/>
            <a:ext cx="3293" cy="398652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6" name="CuadroTexto 364">
            <a:extLst>
              <a:ext uri="{FF2B5EF4-FFF2-40B4-BE49-F238E27FC236}">
                <a16:creationId xmlns:a16="http://schemas.microsoft.com/office/drawing/2014/main" id="{06D5DEF5-13A7-5127-8CEB-189CFA7CE2C5}"/>
              </a:ext>
            </a:extLst>
          </xdr:cNvPr>
          <xdr:cNvSpPr txBox="1"/>
        </xdr:nvSpPr>
        <xdr:spPr>
          <a:xfrm>
            <a:off x="6717265" y="5109954"/>
            <a:ext cx="407866" cy="22348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Fiber</a:t>
            </a:r>
          </a:p>
        </xdr:txBody>
      </xdr:sp>
      <xdr:cxnSp macro="">
        <xdr:nvCxnSpPr>
          <xdr:cNvPr id="87" name="Conector recto de flecha 86">
            <a:extLst>
              <a:ext uri="{FF2B5EF4-FFF2-40B4-BE49-F238E27FC236}">
                <a16:creationId xmlns:a16="http://schemas.microsoft.com/office/drawing/2014/main" id="{9FC202D7-5CEE-BBBF-BB72-4402A374FA09}"/>
              </a:ext>
            </a:extLst>
          </xdr:cNvPr>
          <xdr:cNvCxnSpPr>
            <a:cxnSpLocks/>
            <a:stCxn id="16" idx="3"/>
          </xdr:cNvCxnSpPr>
        </xdr:nvCxnSpPr>
        <xdr:spPr>
          <a:xfrm>
            <a:off x="9075271" y="4494098"/>
            <a:ext cx="779684" cy="0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8" name="Conector recto de flecha 87">
            <a:extLst>
              <a:ext uri="{FF2B5EF4-FFF2-40B4-BE49-F238E27FC236}">
                <a16:creationId xmlns:a16="http://schemas.microsoft.com/office/drawing/2014/main" id="{191C5A28-9B02-4D75-6414-FBCC787A1AEE}"/>
              </a:ext>
            </a:extLst>
          </xdr:cNvPr>
          <xdr:cNvCxnSpPr>
            <a:cxnSpLocks/>
            <a:stCxn id="16" idx="2"/>
          </xdr:cNvCxnSpPr>
        </xdr:nvCxnSpPr>
        <xdr:spPr>
          <a:xfrm flipH="1">
            <a:off x="8621415" y="4773965"/>
            <a:ext cx="440" cy="306536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9" name="Conector recto de flecha 88">
            <a:extLst>
              <a:ext uri="{FF2B5EF4-FFF2-40B4-BE49-F238E27FC236}">
                <a16:creationId xmlns:a16="http://schemas.microsoft.com/office/drawing/2014/main" id="{4218BB71-8E99-2562-6682-25011BFD3FF6}"/>
              </a:ext>
            </a:extLst>
          </xdr:cNvPr>
          <xdr:cNvCxnSpPr>
            <a:cxnSpLocks/>
          </xdr:cNvCxnSpPr>
        </xdr:nvCxnSpPr>
        <xdr:spPr>
          <a:xfrm>
            <a:off x="8621854" y="3630847"/>
            <a:ext cx="0" cy="611075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" name="Conector recto de flecha 142">
            <a:extLst>
              <a:ext uri="{FF2B5EF4-FFF2-40B4-BE49-F238E27FC236}">
                <a16:creationId xmlns:a16="http://schemas.microsoft.com/office/drawing/2014/main" id="{98476AA0-AE2A-4871-9B97-A90285B7E061}"/>
              </a:ext>
            </a:extLst>
          </xdr:cNvPr>
          <xdr:cNvCxnSpPr>
            <a:stCxn id="9" idx="3"/>
          </xdr:cNvCxnSpPr>
        </xdr:nvCxnSpPr>
        <xdr:spPr>
          <a:xfrm flipV="1">
            <a:off x="5232141" y="4462821"/>
            <a:ext cx="305988" cy="5687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Conector recto de flecha 143">
            <a:extLst>
              <a:ext uri="{FF2B5EF4-FFF2-40B4-BE49-F238E27FC236}">
                <a16:creationId xmlns:a16="http://schemas.microsoft.com/office/drawing/2014/main" id="{2330CD8E-9DAC-4DF7-97F3-517324852088}"/>
              </a:ext>
            </a:extLst>
          </xdr:cNvPr>
          <xdr:cNvCxnSpPr>
            <a:cxnSpLocks/>
          </xdr:cNvCxnSpPr>
        </xdr:nvCxnSpPr>
        <xdr:spPr>
          <a:xfrm flipH="1" flipV="1">
            <a:off x="2634872" y="1815423"/>
            <a:ext cx="1235" cy="44912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45" name="CuadroTexto 94">
                <a:extLst>
                  <a:ext uri="{FF2B5EF4-FFF2-40B4-BE49-F238E27FC236}">
                    <a16:creationId xmlns:a16="http://schemas.microsoft.com/office/drawing/2014/main" id="{B52572D9-E621-496B-92FE-35FD91703ADF}"/>
                  </a:ext>
                </a:extLst>
              </xdr:cNvPr>
              <xdr:cNvSpPr txBox="1"/>
            </xdr:nvSpPr>
            <xdr:spPr>
              <a:xfrm flipH="1">
                <a:off x="1925304" y="1776010"/>
                <a:ext cx="638476" cy="259690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0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0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00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e>
                          </m:acc>
                        </m:e>
                        <m:sub>
                          <m:r>
                            <a:rPr lang="es-CO" sz="1000" b="0" i="1">
                              <a:latin typeface="Cambria Math" panose="02040503050406030204" pitchFamily="18" charset="0"/>
                            </a:rPr>
                            <m:t>𝑠𝑡𝑒</m:t>
                          </m:r>
                          <m:r>
                            <a:rPr lang="es-CO" sz="1000" b="0" i="1">
                              <a:latin typeface="Cambria Math" panose="02040503050406030204" pitchFamily="18" charset="0"/>
                            </a:rPr>
                            <m:t>_</m:t>
                          </m:r>
                          <m:r>
                            <a:rPr lang="es-CO" sz="1000" b="0" i="1">
                              <a:latin typeface="Cambria Math" panose="02040503050406030204" pitchFamily="18" charset="0"/>
                            </a:rPr>
                            <m:t>𝑜𝑢𝑡</m:t>
                          </m:r>
                        </m:sub>
                      </m:sSub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145" name="CuadroTexto 94">
                <a:extLst>
                  <a:ext uri="{FF2B5EF4-FFF2-40B4-BE49-F238E27FC236}">
                    <a16:creationId xmlns:a16="http://schemas.microsoft.com/office/drawing/2014/main" id="{B52572D9-E621-496B-92FE-35FD91703ADF}"/>
                  </a:ext>
                </a:extLst>
              </xdr:cNvPr>
              <xdr:cNvSpPr txBox="1"/>
            </xdr:nvSpPr>
            <xdr:spPr>
              <a:xfrm flipH="1">
                <a:off x="1925304" y="1776010"/>
                <a:ext cx="638476" cy="259690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𝑄</a:t>
                </a:r>
                <a:r>
                  <a:rPr lang="en-US" sz="1000" i="0">
                    <a:latin typeface="Cambria Math" panose="02040503050406030204" pitchFamily="18" charset="0"/>
                  </a:rPr>
                  <a:t> ̇_(</a:t>
                </a:r>
                <a:r>
                  <a:rPr lang="es-CO" sz="1000" b="0" i="0">
                    <a:latin typeface="Cambria Math" panose="02040503050406030204" pitchFamily="18" charset="0"/>
                  </a:rPr>
                  <a:t>𝑠𝑡𝑒_𝑜𝑢𝑡</a:t>
                </a:r>
                <a:r>
                  <a:rPr lang="en-US" sz="1000" b="0" i="0">
                    <a:latin typeface="Cambria Math" panose="02040503050406030204" pitchFamily="18" charset="0"/>
                  </a:rPr>
                  <a:t>)</a:t>
                </a:r>
                <a:endParaRPr lang="en-US" sz="1000"/>
              </a:p>
            </xdr:txBody>
          </xdr:sp>
        </mc:Fallback>
      </mc:AlternateContent>
      <xdr:cxnSp macro="">
        <xdr:nvCxnSpPr>
          <xdr:cNvPr id="146" name="Conector: angular 145">
            <a:extLst>
              <a:ext uri="{FF2B5EF4-FFF2-40B4-BE49-F238E27FC236}">
                <a16:creationId xmlns:a16="http://schemas.microsoft.com/office/drawing/2014/main" id="{562D85C1-782F-43F4-B54E-E33F0C2F34C4}"/>
              </a:ext>
            </a:extLst>
          </xdr:cNvPr>
          <xdr:cNvCxnSpPr/>
        </xdr:nvCxnSpPr>
        <xdr:spPr>
          <a:xfrm rot="10800000" flipV="1">
            <a:off x="8401427" y="2804793"/>
            <a:ext cx="1604718" cy="484156"/>
          </a:xfrm>
          <a:prstGeom prst="bentConnector3">
            <a:avLst>
              <a:gd name="adj1" fmla="val 0"/>
            </a:avLst>
          </a:prstGeom>
          <a:ln w="19050" cap="flat" cmpd="sng" algn="ctr">
            <a:solidFill>
              <a:schemeClr val="accent2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47" name="Conector: angular 146">
            <a:extLst>
              <a:ext uri="{FF2B5EF4-FFF2-40B4-BE49-F238E27FC236}">
                <a16:creationId xmlns:a16="http://schemas.microsoft.com/office/drawing/2014/main" id="{76527983-19A8-4AEB-A2A6-BD1243EA88E2}"/>
              </a:ext>
            </a:extLst>
          </xdr:cNvPr>
          <xdr:cNvCxnSpPr>
            <a:stCxn id="119" idx="3"/>
          </xdr:cNvCxnSpPr>
        </xdr:nvCxnSpPr>
        <xdr:spPr>
          <a:xfrm rot="10800000">
            <a:off x="9198552" y="8639176"/>
            <a:ext cx="234980" cy="1351108"/>
          </a:xfrm>
          <a:prstGeom prst="bentConnector2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" name="Conector recto 147">
            <a:extLst>
              <a:ext uri="{FF2B5EF4-FFF2-40B4-BE49-F238E27FC236}">
                <a16:creationId xmlns:a16="http://schemas.microsoft.com/office/drawing/2014/main" id="{481803AB-7669-4BFE-A765-4DEB66E93991}"/>
              </a:ext>
            </a:extLst>
          </xdr:cNvPr>
          <xdr:cNvCxnSpPr/>
        </xdr:nvCxnSpPr>
        <xdr:spPr>
          <a:xfrm flipV="1">
            <a:off x="9195954" y="8633114"/>
            <a:ext cx="233796" cy="4329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9" name="Conector recto de flecha 148">
            <a:extLst>
              <a:ext uri="{FF2B5EF4-FFF2-40B4-BE49-F238E27FC236}">
                <a16:creationId xmlns:a16="http://schemas.microsoft.com/office/drawing/2014/main" id="{822FB9BC-86E2-4602-889F-4DAF1108751C}"/>
              </a:ext>
            </a:extLst>
          </xdr:cNvPr>
          <xdr:cNvCxnSpPr/>
        </xdr:nvCxnSpPr>
        <xdr:spPr>
          <a:xfrm flipH="1">
            <a:off x="8676409" y="9282545"/>
            <a:ext cx="515216" cy="4330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56" name="CuadroTexto 49">
                <a:extLst>
                  <a:ext uri="{FF2B5EF4-FFF2-40B4-BE49-F238E27FC236}">
                    <a16:creationId xmlns:a16="http://schemas.microsoft.com/office/drawing/2014/main" id="{16C9842B-D2A2-4646-92F0-E0158D6311CA}"/>
                  </a:ext>
                </a:extLst>
              </xdr:cNvPr>
              <xdr:cNvSpPr txBox="1"/>
            </xdr:nvSpPr>
            <xdr:spPr>
              <a:xfrm flipH="1">
                <a:off x="15261494" y="2847469"/>
                <a:ext cx="609435" cy="414504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0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0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00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e>
                          </m:acc>
                        </m:e>
                        <m:sub>
                          <m:r>
                            <a:rPr lang="es-CO" sz="1000" i="1">
                              <a:latin typeface="Cambria Math" panose="02040503050406030204" pitchFamily="18" charset="0"/>
                            </a:rPr>
                            <m:t>𝑖𝑛</m:t>
                          </m:r>
                        </m:sub>
                      </m:sSub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356" name="CuadroTexto 49">
                <a:extLst>
                  <a:ext uri="{FF2B5EF4-FFF2-40B4-BE49-F238E27FC236}">
                    <a16:creationId xmlns:a16="http://schemas.microsoft.com/office/drawing/2014/main" id="{16C9842B-D2A2-4646-92F0-E0158D6311CA}"/>
                  </a:ext>
                </a:extLst>
              </xdr:cNvPr>
              <xdr:cNvSpPr txBox="1"/>
            </xdr:nvSpPr>
            <xdr:spPr>
              <a:xfrm flipH="1">
                <a:off x="15261494" y="2847469"/>
                <a:ext cx="609435" cy="414504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𝑄</a:t>
                </a:r>
                <a:r>
                  <a:rPr lang="en-US" sz="1000" i="0">
                    <a:latin typeface="Cambria Math" panose="02040503050406030204" pitchFamily="18" charset="0"/>
                  </a:rPr>
                  <a:t> ̇_</a:t>
                </a:r>
                <a:r>
                  <a:rPr lang="es-CO" sz="1000" i="0">
                    <a:latin typeface="Cambria Math" panose="02040503050406030204" pitchFamily="18" charset="0"/>
                  </a:rPr>
                  <a:t>𝑖𝑛</a:t>
                </a:r>
                <a:endParaRPr lang="en-US" sz="10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57" name="CuadroTexto 50">
                <a:extLst>
                  <a:ext uri="{FF2B5EF4-FFF2-40B4-BE49-F238E27FC236}">
                    <a16:creationId xmlns:a16="http://schemas.microsoft.com/office/drawing/2014/main" id="{9862FA0E-B513-4A21-9ABB-A25A6F8CFFC6}"/>
                  </a:ext>
                </a:extLst>
              </xdr:cNvPr>
              <xdr:cNvSpPr txBox="1"/>
            </xdr:nvSpPr>
            <xdr:spPr>
              <a:xfrm flipH="1">
                <a:off x="16513625" y="2534702"/>
                <a:ext cx="638876" cy="246465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000" i="1">
                          <a:latin typeface="Cambria Math" panose="02040503050406030204" pitchFamily="18" charset="0"/>
                        </a:rPr>
                        <m:t>𝐹𝑊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𝑃𝑢𝑚𝑝</m:t>
                      </m:r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357" name="CuadroTexto 50">
                <a:extLst>
                  <a:ext uri="{FF2B5EF4-FFF2-40B4-BE49-F238E27FC236}">
                    <a16:creationId xmlns:a16="http://schemas.microsoft.com/office/drawing/2014/main" id="{9862FA0E-B513-4A21-9ABB-A25A6F8CFFC6}"/>
                  </a:ext>
                </a:extLst>
              </xdr:cNvPr>
              <xdr:cNvSpPr txBox="1"/>
            </xdr:nvSpPr>
            <xdr:spPr>
              <a:xfrm flipH="1">
                <a:off x="16513625" y="2534702"/>
                <a:ext cx="638876" cy="246465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𝐹𝑊 𝑃𝑢𝑚𝑝</a:t>
                </a:r>
                <a:endParaRPr lang="en-US" sz="1000"/>
              </a:p>
            </xdr:txBody>
          </xdr:sp>
        </mc:Fallback>
      </mc:AlternateContent>
      <xdr:sp macro="" textlink="">
        <xdr:nvSpPr>
          <xdr:cNvPr id="358" name="Trapecio 357">
            <a:extLst>
              <a:ext uri="{FF2B5EF4-FFF2-40B4-BE49-F238E27FC236}">
                <a16:creationId xmlns:a16="http://schemas.microsoft.com/office/drawing/2014/main" id="{00BAD304-EA3C-460A-A294-ADCE27E61DFE}"/>
              </a:ext>
            </a:extLst>
          </xdr:cNvPr>
          <xdr:cNvSpPr/>
        </xdr:nvSpPr>
        <xdr:spPr>
          <a:xfrm rot="16200000">
            <a:off x="15847763" y="5234625"/>
            <a:ext cx="732618" cy="522979"/>
          </a:xfrm>
          <a:prstGeom prst="trapezoid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="vert"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 b="1"/>
              <a:t>ECST</a:t>
            </a:r>
          </a:p>
        </xdr:txBody>
      </xdr:sp>
      <xdr:sp macro="" textlink="">
        <xdr:nvSpPr>
          <xdr:cNvPr id="359" name="Elipse 358">
            <a:extLst>
              <a:ext uri="{FF2B5EF4-FFF2-40B4-BE49-F238E27FC236}">
                <a16:creationId xmlns:a16="http://schemas.microsoft.com/office/drawing/2014/main" id="{1850DE98-D6BA-40BF-BAD9-2AE9D7C8AB50}"/>
              </a:ext>
            </a:extLst>
          </xdr:cNvPr>
          <xdr:cNvSpPr/>
        </xdr:nvSpPr>
        <xdr:spPr>
          <a:xfrm>
            <a:off x="16929913" y="5270091"/>
            <a:ext cx="343694" cy="443282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G</a:t>
            </a:r>
          </a:p>
        </xdr:txBody>
      </xdr:sp>
      <xdr:cxnSp macro="">
        <xdr:nvCxnSpPr>
          <xdr:cNvPr id="360" name="Conector recto 359">
            <a:extLst>
              <a:ext uri="{FF2B5EF4-FFF2-40B4-BE49-F238E27FC236}">
                <a16:creationId xmlns:a16="http://schemas.microsoft.com/office/drawing/2014/main" id="{C3223A37-89E7-4E43-9DCD-6FB25C4AAB94}"/>
              </a:ext>
            </a:extLst>
          </xdr:cNvPr>
          <xdr:cNvCxnSpPr>
            <a:stCxn id="358" idx="2"/>
            <a:endCxn id="358" idx="2"/>
          </xdr:cNvCxnSpPr>
        </xdr:nvCxnSpPr>
        <xdr:spPr>
          <a:xfrm>
            <a:off x="16475561" y="5499208"/>
            <a:ext cx="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" name="Conector recto 360">
            <a:extLst>
              <a:ext uri="{FF2B5EF4-FFF2-40B4-BE49-F238E27FC236}">
                <a16:creationId xmlns:a16="http://schemas.microsoft.com/office/drawing/2014/main" id="{FDE4A4F1-418E-475E-8B24-077B95437D05}"/>
              </a:ext>
            </a:extLst>
          </xdr:cNvPr>
          <xdr:cNvCxnSpPr>
            <a:stCxn id="358" idx="2"/>
            <a:endCxn id="359" idx="2"/>
          </xdr:cNvCxnSpPr>
        </xdr:nvCxnSpPr>
        <xdr:spPr>
          <a:xfrm flipV="1">
            <a:off x="16475561" y="5497917"/>
            <a:ext cx="454352" cy="129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62" name="Grupo 361">
            <a:extLst>
              <a:ext uri="{FF2B5EF4-FFF2-40B4-BE49-F238E27FC236}">
                <a16:creationId xmlns:a16="http://schemas.microsoft.com/office/drawing/2014/main" id="{125EB669-8460-491A-8F46-2BCC30C777FC}"/>
              </a:ext>
            </a:extLst>
          </xdr:cNvPr>
          <xdr:cNvGrpSpPr/>
        </xdr:nvGrpSpPr>
        <xdr:grpSpPr>
          <a:xfrm>
            <a:off x="16717458" y="5417850"/>
            <a:ext cx="0" cy="147761"/>
            <a:chOff x="5663565" y="696057"/>
            <a:chExt cx="28575" cy="144000"/>
          </a:xfrm>
        </xdr:grpSpPr>
        <xdr:cxnSp macro="">
          <xdr:nvCxnSpPr>
            <xdr:cNvPr id="363" name="Conector recto 362">
              <a:extLst>
                <a:ext uri="{FF2B5EF4-FFF2-40B4-BE49-F238E27FC236}">
                  <a16:creationId xmlns:a16="http://schemas.microsoft.com/office/drawing/2014/main" id="{F338766E-C03E-1D38-811D-FF11D6EA029B}"/>
                </a:ext>
              </a:extLst>
            </xdr:cNvPr>
            <xdr:cNvCxnSpPr/>
          </xdr:nvCxnSpPr>
          <xdr:spPr>
            <a:xfrm>
              <a:off x="5663565" y="696057"/>
              <a:ext cx="0" cy="144000"/>
            </a:xfrm>
            <a:prstGeom prst="line">
              <a:avLst/>
            </a:prstGeom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" name="Conector recto 363">
              <a:extLst>
                <a:ext uri="{FF2B5EF4-FFF2-40B4-BE49-F238E27FC236}">
                  <a16:creationId xmlns:a16="http://schemas.microsoft.com/office/drawing/2014/main" id="{942FC4D1-1D18-DC71-343E-8F303D088D75}"/>
                </a:ext>
              </a:extLst>
            </xdr:cNvPr>
            <xdr:cNvCxnSpPr/>
          </xdr:nvCxnSpPr>
          <xdr:spPr>
            <a:xfrm>
              <a:off x="5692140" y="696057"/>
              <a:ext cx="0" cy="144000"/>
            </a:xfrm>
            <a:prstGeom prst="line">
              <a:avLst/>
            </a:prstGeom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5" name="Conector recto de flecha 364">
            <a:extLst>
              <a:ext uri="{FF2B5EF4-FFF2-40B4-BE49-F238E27FC236}">
                <a16:creationId xmlns:a16="http://schemas.microsoft.com/office/drawing/2014/main" id="{18DFB542-B102-4F85-B1A2-3004834DD5FD}"/>
              </a:ext>
            </a:extLst>
          </xdr:cNvPr>
          <xdr:cNvCxnSpPr>
            <a:cxnSpLocks/>
            <a:stCxn id="359" idx="6"/>
          </xdr:cNvCxnSpPr>
        </xdr:nvCxnSpPr>
        <xdr:spPr>
          <a:xfrm>
            <a:off x="17273607" y="5494825"/>
            <a:ext cx="1827111" cy="11120"/>
          </a:xfrm>
          <a:prstGeom prst="straightConnector1">
            <a:avLst/>
          </a:prstGeom>
          <a:ln w="19050" cap="flat" cmpd="sng" algn="ctr">
            <a:solidFill>
              <a:schemeClr val="accent4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66" name="Conector recto de flecha 365">
            <a:extLst>
              <a:ext uri="{FF2B5EF4-FFF2-40B4-BE49-F238E27FC236}">
                <a16:creationId xmlns:a16="http://schemas.microsoft.com/office/drawing/2014/main" id="{4CA77431-0A3C-4B26-85CD-4BCCAC271F70}"/>
              </a:ext>
            </a:extLst>
          </xdr:cNvPr>
          <xdr:cNvCxnSpPr/>
        </xdr:nvCxnSpPr>
        <xdr:spPr>
          <a:xfrm flipV="1">
            <a:off x="17738439" y="4894211"/>
            <a:ext cx="0" cy="603706"/>
          </a:xfrm>
          <a:prstGeom prst="straightConnector1">
            <a:avLst/>
          </a:prstGeom>
          <a:ln w="19050" cap="flat" cmpd="sng" algn="ctr">
            <a:solidFill>
              <a:schemeClr val="accent4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67" name="CuadroTexto 62">
                <a:extLst>
                  <a:ext uri="{FF2B5EF4-FFF2-40B4-BE49-F238E27FC236}">
                    <a16:creationId xmlns:a16="http://schemas.microsoft.com/office/drawing/2014/main" id="{9E643D82-410D-45B1-916B-04DA9D9AA19E}"/>
                  </a:ext>
                </a:extLst>
              </xdr:cNvPr>
              <xdr:cNvSpPr txBox="1"/>
            </xdr:nvSpPr>
            <xdr:spPr>
              <a:xfrm>
                <a:off x="17438032" y="4584819"/>
                <a:ext cx="638876" cy="280090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𝑎𝑢𝑥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367" name="CuadroTexto 62">
                <a:extLst>
                  <a:ext uri="{FF2B5EF4-FFF2-40B4-BE49-F238E27FC236}">
                    <a16:creationId xmlns:a16="http://schemas.microsoft.com/office/drawing/2014/main" id="{9E643D82-410D-45B1-916B-04DA9D9AA19E}"/>
                  </a:ext>
                </a:extLst>
              </xdr:cNvPr>
              <xdr:cNvSpPr txBox="1"/>
            </xdr:nvSpPr>
            <xdr:spPr>
              <a:xfrm>
                <a:off x="17438032" y="4584819"/>
                <a:ext cx="638876" cy="280090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𝑎𝑢𝑥</a:t>
                </a:r>
                <a:endParaRPr lang="en-US" sz="1100"/>
              </a:p>
            </xdr:txBody>
          </xdr:sp>
        </mc:Fallback>
      </mc:AlternateContent>
      <xdr:sp macro="" textlink="">
        <xdr:nvSpPr>
          <xdr:cNvPr id="368" name="Rectángulo 367">
            <a:extLst>
              <a:ext uri="{FF2B5EF4-FFF2-40B4-BE49-F238E27FC236}">
                <a16:creationId xmlns:a16="http://schemas.microsoft.com/office/drawing/2014/main" id="{98D5DDCE-D168-49DF-AE5E-4A722B9418C4}"/>
              </a:ext>
            </a:extLst>
          </xdr:cNvPr>
          <xdr:cNvSpPr/>
        </xdr:nvSpPr>
        <xdr:spPr>
          <a:xfrm flipH="1">
            <a:off x="15502577" y="3500670"/>
            <a:ext cx="1081814" cy="92350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Steam</a:t>
            </a:r>
            <a:r>
              <a:rPr lang="es-CO" sz="1100"/>
              <a:t> Boiler</a:t>
            </a:r>
          </a:p>
        </xdr:txBody>
      </xdr:sp>
      <xdr:grpSp>
        <xdr:nvGrpSpPr>
          <xdr:cNvPr id="369" name="Grupo 368">
            <a:extLst>
              <a:ext uri="{FF2B5EF4-FFF2-40B4-BE49-F238E27FC236}">
                <a16:creationId xmlns:a16="http://schemas.microsoft.com/office/drawing/2014/main" id="{30440A7C-28C5-458C-8D8A-FFE7E4EF4BB6}"/>
              </a:ext>
            </a:extLst>
          </xdr:cNvPr>
          <xdr:cNvGrpSpPr/>
        </xdr:nvGrpSpPr>
        <xdr:grpSpPr>
          <a:xfrm rot="10800000" flipH="1">
            <a:off x="16225450" y="2455529"/>
            <a:ext cx="238365" cy="295521"/>
            <a:chOff x="647700" y="2004072"/>
            <a:chExt cx="288000" cy="288000"/>
          </a:xfrm>
        </xdr:grpSpPr>
        <xdr:sp macro="" textlink="">
          <xdr:nvSpPr>
            <xdr:cNvPr id="370" name="Elipse 369">
              <a:extLst>
                <a:ext uri="{FF2B5EF4-FFF2-40B4-BE49-F238E27FC236}">
                  <a16:creationId xmlns:a16="http://schemas.microsoft.com/office/drawing/2014/main" id="{5426E41C-025B-9DAA-C2B8-C8567583DDBB}"/>
                </a:ext>
              </a:extLst>
            </xdr:cNvPr>
            <xdr:cNvSpPr/>
          </xdr:nvSpPr>
          <xdr:spPr>
            <a:xfrm>
              <a:off x="647700" y="2004072"/>
              <a:ext cx="288000" cy="288000"/>
            </a:xfrm>
            <a:prstGeom prst="ellipse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657"/>
            </a:p>
          </xdr:txBody>
        </xdr:sp>
        <xdr:sp macro="" textlink="">
          <xdr:nvSpPr>
            <xdr:cNvPr id="371" name="Triángulo isósceles 370">
              <a:extLst>
                <a:ext uri="{FF2B5EF4-FFF2-40B4-BE49-F238E27FC236}">
                  <a16:creationId xmlns:a16="http://schemas.microsoft.com/office/drawing/2014/main" id="{DB52D4DE-E51D-4911-591C-FA9927C0036A}"/>
                </a:ext>
              </a:extLst>
            </xdr:cNvPr>
            <xdr:cNvSpPr/>
          </xdr:nvSpPr>
          <xdr:spPr>
            <a:xfrm>
              <a:off x="697706" y="2022399"/>
              <a:ext cx="190499" cy="218357"/>
            </a:xfrm>
            <a:prstGeom prst="triangl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657"/>
            </a:p>
          </xdr:txBody>
        </xdr:sp>
      </xdr:grpSp>
      <xdr:cxnSp macro="">
        <xdr:nvCxnSpPr>
          <xdr:cNvPr id="372" name="Conector recto de flecha 371">
            <a:extLst>
              <a:ext uri="{FF2B5EF4-FFF2-40B4-BE49-F238E27FC236}">
                <a16:creationId xmlns:a16="http://schemas.microsoft.com/office/drawing/2014/main" id="{025F2171-DC6F-4680-B992-37B0E679A788}"/>
              </a:ext>
            </a:extLst>
          </xdr:cNvPr>
          <xdr:cNvCxnSpPr>
            <a:cxnSpLocks/>
          </xdr:cNvCxnSpPr>
        </xdr:nvCxnSpPr>
        <xdr:spPr>
          <a:xfrm>
            <a:off x="16320387" y="2756290"/>
            <a:ext cx="0" cy="733904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73" name="Conector recto de flecha 372">
            <a:extLst>
              <a:ext uri="{FF2B5EF4-FFF2-40B4-BE49-F238E27FC236}">
                <a16:creationId xmlns:a16="http://schemas.microsoft.com/office/drawing/2014/main" id="{330C2AA8-73F4-429B-9DDC-94159ED7BB38}"/>
              </a:ext>
            </a:extLst>
          </xdr:cNvPr>
          <xdr:cNvCxnSpPr>
            <a:cxnSpLocks/>
          </xdr:cNvCxnSpPr>
        </xdr:nvCxnSpPr>
        <xdr:spPr>
          <a:xfrm>
            <a:off x="15741832" y="2819101"/>
            <a:ext cx="0" cy="675862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74" name="CuadroTexto 48">
            <a:extLst>
              <a:ext uri="{FF2B5EF4-FFF2-40B4-BE49-F238E27FC236}">
                <a16:creationId xmlns:a16="http://schemas.microsoft.com/office/drawing/2014/main" id="{31991A41-7E4D-4FC4-8560-4E8E88FB938B}"/>
              </a:ext>
            </a:extLst>
          </xdr:cNvPr>
          <xdr:cNvSpPr txBox="1"/>
        </xdr:nvSpPr>
        <xdr:spPr>
          <a:xfrm flipH="1">
            <a:off x="15254263" y="2620214"/>
            <a:ext cx="671519" cy="22725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Cambria Math" panose="02040503050406030204" pitchFamily="18" charset="0"/>
                <a:ea typeface="Cambria Math" panose="02040503050406030204" pitchFamily="18" charset="0"/>
              </a:rPr>
              <a:t>Biomass fuel</a:t>
            </a:r>
          </a:p>
        </xdr:txBody>
      </xdr:sp>
      <xdr:cxnSp macro="">
        <xdr:nvCxnSpPr>
          <xdr:cNvPr id="375" name="Conector recto de flecha 374">
            <a:extLst>
              <a:ext uri="{FF2B5EF4-FFF2-40B4-BE49-F238E27FC236}">
                <a16:creationId xmlns:a16="http://schemas.microsoft.com/office/drawing/2014/main" id="{6863C432-C9F8-4512-8CC4-A97FD7CA8AE2}"/>
              </a:ext>
            </a:extLst>
          </xdr:cNvPr>
          <xdr:cNvCxnSpPr>
            <a:cxnSpLocks/>
            <a:stCxn id="368" idx="2"/>
          </xdr:cNvCxnSpPr>
        </xdr:nvCxnSpPr>
        <xdr:spPr>
          <a:xfrm flipH="1">
            <a:off x="16043484" y="4424173"/>
            <a:ext cx="1" cy="845918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76" name="Conector: angular 375">
            <a:extLst>
              <a:ext uri="{FF2B5EF4-FFF2-40B4-BE49-F238E27FC236}">
                <a16:creationId xmlns:a16="http://schemas.microsoft.com/office/drawing/2014/main" id="{57B4DA33-78F7-4DC2-B1D2-A806E5B7F567}"/>
              </a:ext>
            </a:extLst>
          </xdr:cNvPr>
          <xdr:cNvCxnSpPr>
            <a:stCxn id="358" idx="1"/>
          </xdr:cNvCxnSpPr>
        </xdr:nvCxnSpPr>
        <xdr:spPr>
          <a:xfrm rot="5400000">
            <a:off x="14135531" y="4174858"/>
            <a:ext cx="474688" cy="3711836"/>
          </a:xfrm>
          <a:prstGeom prst="bentConnector2">
            <a:avLst/>
          </a:prstGeom>
          <a:ln w="190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77" name="CuadroTexto 326">
                <a:extLst>
                  <a:ext uri="{FF2B5EF4-FFF2-40B4-BE49-F238E27FC236}">
                    <a16:creationId xmlns:a16="http://schemas.microsoft.com/office/drawing/2014/main" id="{19188F20-9F3D-4655-9BD4-DC4E393A0F40}"/>
                  </a:ext>
                </a:extLst>
              </xdr:cNvPr>
              <xdr:cNvSpPr txBox="1"/>
            </xdr:nvSpPr>
            <xdr:spPr>
              <a:xfrm>
                <a:off x="17195827" y="5618473"/>
                <a:ext cx="638011" cy="285811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𝑔𝑒𝑛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377" name="CuadroTexto 326">
                <a:extLst>
                  <a:ext uri="{FF2B5EF4-FFF2-40B4-BE49-F238E27FC236}">
                    <a16:creationId xmlns:a16="http://schemas.microsoft.com/office/drawing/2014/main" id="{19188F20-9F3D-4655-9BD4-DC4E393A0F40}"/>
                  </a:ext>
                </a:extLst>
              </xdr:cNvPr>
              <xdr:cNvSpPr txBox="1"/>
            </xdr:nvSpPr>
            <xdr:spPr>
              <a:xfrm>
                <a:off x="17195827" y="5618473"/>
                <a:ext cx="638011" cy="285811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𝑔𝑒𝑛</a:t>
                </a:r>
                <a:endParaRPr lang="en-US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78" name="CuadroTexto 327">
                <a:extLst>
                  <a:ext uri="{FF2B5EF4-FFF2-40B4-BE49-F238E27FC236}">
                    <a16:creationId xmlns:a16="http://schemas.microsoft.com/office/drawing/2014/main" id="{5E2BB3E1-88AB-43D3-A7BA-F92962CD93A7}"/>
                  </a:ext>
                </a:extLst>
              </xdr:cNvPr>
              <xdr:cNvSpPr txBox="1"/>
            </xdr:nvSpPr>
            <xdr:spPr>
              <a:xfrm>
                <a:off x="17863103" y="5175925"/>
                <a:ext cx="638876" cy="273905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𝑛𝑒𝑡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378" name="CuadroTexto 327">
                <a:extLst>
                  <a:ext uri="{FF2B5EF4-FFF2-40B4-BE49-F238E27FC236}">
                    <a16:creationId xmlns:a16="http://schemas.microsoft.com/office/drawing/2014/main" id="{5E2BB3E1-88AB-43D3-A7BA-F92962CD93A7}"/>
                  </a:ext>
                </a:extLst>
              </xdr:cNvPr>
              <xdr:cNvSpPr txBox="1"/>
            </xdr:nvSpPr>
            <xdr:spPr>
              <a:xfrm>
                <a:off x="17863103" y="5175925"/>
                <a:ext cx="638876" cy="273905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𝑛𝑒𝑡</a:t>
                </a:r>
                <a:endParaRPr lang="en-US" sz="1100"/>
              </a:p>
            </xdr:txBody>
          </xdr:sp>
        </mc:Fallback>
      </mc:AlternateContent>
      <xdr:sp macro="" textlink="">
        <xdr:nvSpPr>
          <xdr:cNvPr id="379" name="Rectángulo 378">
            <a:extLst>
              <a:ext uri="{FF2B5EF4-FFF2-40B4-BE49-F238E27FC236}">
                <a16:creationId xmlns:a16="http://schemas.microsoft.com/office/drawing/2014/main" id="{EEB65309-8F35-45B3-8555-641302AD54A0}"/>
              </a:ext>
            </a:extLst>
          </xdr:cNvPr>
          <xdr:cNvSpPr/>
        </xdr:nvSpPr>
        <xdr:spPr>
          <a:xfrm>
            <a:off x="13193174" y="2580051"/>
            <a:ext cx="898728" cy="716701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Hot Water</a:t>
            </a:r>
          </a:p>
        </xdr:txBody>
      </xdr:sp>
      <xdr:grpSp>
        <xdr:nvGrpSpPr>
          <xdr:cNvPr id="380" name="Grupo 379">
            <a:extLst>
              <a:ext uri="{FF2B5EF4-FFF2-40B4-BE49-F238E27FC236}">
                <a16:creationId xmlns:a16="http://schemas.microsoft.com/office/drawing/2014/main" id="{97C0B674-A255-4F1C-819C-26A66F23A0D5}"/>
              </a:ext>
            </a:extLst>
          </xdr:cNvPr>
          <xdr:cNvGrpSpPr/>
        </xdr:nvGrpSpPr>
        <xdr:grpSpPr>
          <a:xfrm>
            <a:off x="12579185" y="3939265"/>
            <a:ext cx="468481" cy="516456"/>
            <a:chOff x="5999852" y="6182887"/>
            <a:chExt cx="1031321" cy="833815"/>
          </a:xfrm>
        </xdr:grpSpPr>
        <xdr:sp macro="" textlink="">
          <xdr:nvSpPr>
            <xdr:cNvPr id="381" name="Elipse 380">
              <a:extLst>
                <a:ext uri="{FF2B5EF4-FFF2-40B4-BE49-F238E27FC236}">
                  <a16:creationId xmlns:a16="http://schemas.microsoft.com/office/drawing/2014/main" id="{75940458-3AFC-C290-CFA3-2D387C62B067}"/>
                </a:ext>
              </a:extLst>
            </xdr:cNvPr>
            <xdr:cNvSpPr/>
          </xdr:nvSpPr>
          <xdr:spPr>
            <a:xfrm rot="5400000" flipH="1">
              <a:off x="6739530" y="6188687"/>
              <a:ext cx="297444" cy="285843"/>
            </a:xfrm>
            <a:prstGeom prst="ellipse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657"/>
            </a:p>
          </xdr:txBody>
        </xdr:sp>
        <xdr:sp macro="" textlink="">
          <xdr:nvSpPr>
            <xdr:cNvPr id="382" name="Triángulo isósceles 381">
              <a:extLst>
                <a:ext uri="{FF2B5EF4-FFF2-40B4-BE49-F238E27FC236}">
                  <a16:creationId xmlns:a16="http://schemas.microsoft.com/office/drawing/2014/main" id="{617CF4D1-D770-C511-89A6-6D5364623EE7}"/>
                </a:ext>
              </a:extLst>
            </xdr:cNvPr>
            <xdr:cNvSpPr/>
          </xdr:nvSpPr>
          <xdr:spPr>
            <a:xfrm rot="5400000" flipH="1">
              <a:off x="6806250" y="6221951"/>
              <a:ext cx="196746" cy="216722"/>
            </a:xfrm>
            <a:prstGeom prst="triangl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657"/>
            </a:p>
          </xdr:txBody>
        </xdr:sp>
        <xdr:cxnSp macro="">
          <xdr:nvCxnSpPr>
            <xdr:cNvPr id="383" name="Conector recto 382">
              <a:extLst>
                <a:ext uri="{FF2B5EF4-FFF2-40B4-BE49-F238E27FC236}">
                  <a16:creationId xmlns:a16="http://schemas.microsoft.com/office/drawing/2014/main" id="{20CB3138-20F9-D459-BF92-E8AB105257C3}"/>
                </a:ext>
              </a:extLst>
            </xdr:cNvPr>
            <xdr:cNvCxnSpPr/>
          </xdr:nvCxnSpPr>
          <xdr:spPr>
            <a:xfrm>
              <a:off x="5999852" y="6908491"/>
              <a:ext cx="357303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4" name="Conector recto 383">
              <a:extLst>
                <a:ext uri="{FF2B5EF4-FFF2-40B4-BE49-F238E27FC236}">
                  <a16:creationId xmlns:a16="http://schemas.microsoft.com/office/drawing/2014/main" id="{BF3FB7AA-D880-BD27-2DF1-152173572143}"/>
                </a:ext>
              </a:extLst>
            </xdr:cNvPr>
            <xdr:cNvCxnSpPr/>
          </xdr:nvCxnSpPr>
          <xdr:spPr>
            <a:xfrm>
              <a:off x="6035582" y="6962596"/>
              <a:ext cx="285842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5" name="Conector recto 384">
              <a:extLst>
                <a:ext uri="{FF2B5EF4-FFF2-40B4-BE49-F238E27FC236}">
                  <a16:creationId xmlns:a16="http://schemas.microsoft.com/office/drawing/2014/main" id="{E347FACB-D7CC-41FB-EB5E-B68D377FF119}"/>
                </a:ext>
              </a:extLst>
            </xdr:cNvPr>
            <xdr:cNvCxnSpPr/>
          </xdr:nvCxnSpPr>
          <xdr:spPr>
            <a:xfrm>
              <a:off x="6089178" y="7016702"/>
              <a:ext cx="178652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6" name="Conector: angular 385">
              <a:extLst>
                <a:ext uri="{FF2B5EF4-FFF2-40B4-BE49-F238E27FC236}">
                  <a16:creationId xmlns:a16="http://schemas.microsoft.com/office/drawing/2014/main" id="{78456861-86AF-44C5-667E-C6DE84F598C3}"/>
                </a:ext>
              </a:extLst>
            </xdr:cNvPr>
            <xdr:cNvCxnSpPr>
              <a:endCxn id="381" idx="4"/>
            </xdr:cNvCxnSpPr>
          </xdr:nvCxnSpPr>
          <xdr:spPr>
            <a:xfrm flipV="1">
              <a:off x="6179580" y="6331608"/>
              <a:ext cx="565750" cy="564814"/>
            </a:xfrm>
            <a:prstGeom prst="bentConnector3">
              <a:avLst>
                <a:gd name="adj1" fmla="val 631"/>
              </a:avLst>
            </a:prstGeom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87" name="Conector recto de flecha 386">
            <a:extLst>
              <a:ext uri="{FF2B5EF4-FFF2-40B4-BE49-F238E27FC236}">
                <a16:creationId xmlns:a16="http://schemas.microsoft.com/office/drawing/2014/main" id="{8D461BAC-3CEE-4E56-B6D6-FA97B0640EE3}"/>
              </a:ext>
            </a:extLst>
          </xdr:cNvPr>
          <xdr:cNvCxnSpPr>
            <a:cxnSpLocks/>
            <a:endCxn id="404" idx="6"/>
          </xdr:cNvCxnSpPr>
        </xdr:nvCxnSpPr>
        <xdr:spPr>
          <a:xfrm flipH="1">
            <a:off x="16384497" y="5839631"/>
            <a:ext cx="5692" cy="8490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8" name="Conector recto de flecha 387">
            <a:extLst>
              <a:ext uri="{FF2B5EF4-FFF2-40B4-BE49-F238E27FC236}">
                <a16:creationId xmlns:a16="http://schemas.microsoft.com/office/drawing/2014/main" id="{056C1241-859E-4F8A-A73A-AA87E21C2AE9}"/>
              </a:ext>
            </a:extLst>
          </xdr:cNvPr>
          <xdr:cNvCxnSpPr>
            <a:cxnSpLocks/>
          </xdr:cNvCxnSpPr>
        </xdr:nvCxnSpPr>
        <xdr:spPr>
          <a:xfrm>
            <a:off x="18469450" y="6221523"/>
            <a:ext cx="627176" cy="0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9" name="Conector recto de flecha 388">
            <a:extLst>
              <a:ext uri="{FF2B5EF4-FFF2-40B4-BE49-F238E27FC236}">
                <a16:creationId xmlns:a16="http://schemas.microsoft.com/office/drawing/2014/main" id="{03F80407-AAB7-4251-940E-31EA0E417971}"/>
              </a:ext>
            </a:extLst>
          </xdr:cNvPr>
          <xdr:cNvCxnSpPr>
            <a:cxnSpLocks/>
          </xdr:cNvCxnSpPr>
        </xdr:nvCxnSpPr>
        <xdr:spPr>
          <a:xfrm>
            <a:off x="19090430" y="7337208"/>
            <a:ext cx="540585" cy="0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90" name="CuadroTexto 359">
                <a:extLst>
                  <a:ext uri="{FF2B5EF4-FFF2-40B4-BE49-F238E27FC236}">
                    <a16:creationId xmlns:a16="http://schemas.microsoft.com/office/drawing/2014/main" id="{D6D117E9-5614-41AF-8E2A-5A39EED59DB9}"/>
                  </a:ext>
                </a:extLst>
              </xdr:cNvPr>
              <xdr:cNvSpPr txBox="1"/>
            </xdr:nvSpPr>
            <xdr:spPr>
              <a:xfrm>
                <a:off x="18572325" y="5851337"/>
                <a:ext cx="562676" cy="260298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𝑃𝑏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390" name="CuadroTexto 359">
                <a:extLst>
                  <a:ext uri="{FF2B5EF4-FFF2-40B4-BE49-F238E27FC236}">
                    <a16:creationId xmlns:a16="http://schemas.microsoft.com/office/drawing/2014/main" id="{D6D117E9-5614-41AF-8E2A-5A39EED59DB9}"/>
                  </a:ext>
                </a:extLst>
              </xdr:cNvPr>
              <xdr:cNvSpPr txBox="1"/>
            </xdr:nvSpPr>
            <xdr:spPr>
              <a:xfrm>
                <a:off x="18572325" y="5851337"/>
                <a:ext cx="562676" cy="260298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𝑃𝑏</a:t>
                </a:r>
                <a:endParaRPr lang="en-US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91" name="CuadroTexto 360">
                <a:extLst>
                  <a:ext uri="{FF2B5EF4-FFF2-40B4-BE49-F238E27FC236}">
                    <a16:creationId xmlns:a16="http://schemas.microsoft.com/office/drawing/2014/main" id="{F0D5E6E0-5C6B-461C-A5C5-54F502AF9693}"/>
                  </a:ext>
                </a:extLst>
              </xdr:cNvPr>
              <xdr:cNvSpPr txBox="1"/>
            </xdr:nvSpPr>
            <xdr:spPr>
              <a:xfrm>
                <a:off x="19088338" y="7370609"/>
                <a:ext cx="552285" cy="280088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𝐺𝑟𝑖𝑑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391" name="CuadroTexto 360">
                <a:extLst>
                  <a:ext uri="{FF2B5EF4-FFF2-40B4-BE49-F238E27FC236}">
                    <a16:creationId xmlns:a16="http://schemas.microsoft.com/office/drawing/2014/main" id="{F0D5E6E0-5C6B-461C-A5C5-54F502AF9693}"/>
                  </a:ext>
                </a:extLst>
              </xdr:cNvPr>
              <xdr:cNvSpPr txBox="1"/>
            </xdr:nvSpPr>
            <xdr:spPr>
              <a:xfrm>
                <a:off x="19088338" y="7370609"/>
                <a:ext cx="552285" cy="280088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𝐺𝑟𝑖𝑑</a:t>
                </a:r>
                <a:endParaRPr lang="en-US" sz="1100"/>
              </a:p>
            </xdr:txBody>
          </xdr:sp>
        </mc:Fallback>
      </mc:AlternateContent>
      <xdr:cxnSp macro="">
        <xdr:nvCxnSpPr>
          <xdr:cNvPr id="392" name="Conector recto de flecha 391">
            <a:extLst>
              <a:ext uri="{FF2B5EF4-FFF2-40B4-BE49-F238E27FC236}">
                <a16:creationId xmlns:a16="http://schemas.microsoft.com/office/drawing/2014/main" id="{B59A1372-080E-4BDF-8B38-798CA8617460}"/>
              </a:ext>
            </a:extLst>
          </xdr:cNvPr>
          <xdr:cNvCxnSpPr/>
        </xdr:nvCxnSpPr>
        <xdr:spPr>
          <a:xfrm>
            <a:off x="16584391" y="3947675"/>
            <a:ext cx="859137" cy="0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93" name="CuadroTexto 3">
                <a:extLst>
                  <a:ext uri="{FF2B5EF4-FFF2-40B4-BE49-F238E27FC236}">
                    <a16:creationId xmlns:a16="http://schemas.microsoft.com/office/drawing/2014/main" id="{399C104F-2DBD-4E7D-83DE-682C88F1EF39}"/>
                  </a:ext>
                </a:extLst>
              </xdr:cNvPr>
              <xdr:cNvSpPr txBox="1"/>
            </xdr:nvSpPr>
            <xdr:spPr>
              <a:xfrm flipH="1">
                <a:off x="16651173" y="3469990"/>
                <a:ext cx="741335" cy="246466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000" i="1">
                          <a:latin typeface="Cambria Math" panose="02040503050406030204" pitchFamily="18" charset="0"/>
                        </a:rPr>
                        <m:t>𝐸𝑥h𝑎𝑢𝑠𝑡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𝑔𝑎𝑠</m:t>
                      </m:r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393" name="CuadroTexto 3">
                <a:extLst>
                  <a:ext uri="{FF2B5EF4-FFF2-40B4-BE49-F238E27FC236}">
                    <a16:creationId xmlns:a16="http://schemas.microsoft.com/office/drawing/2014/main" id="{399C104F-2DBD-4E7D-83DE-682C88F1EF39}"/>
                  </a:ext>
                </a:extLst>
              </xdr:cNvPr>
              <xdr:cNvSpPr txBox="1"/>
            </xdr:nvSpPr>
            <xdr:spPr>
              <a:xfrm flipH="1">
                <a:off x="16651173" y="3469990"/>
                <a:ext cx="741335" cy="246466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𝐸𝑥ℎ𝑎𝑢𝑠𝑡 𝑔𝑎𝑠</a:t>
                </a:r>
                <a:endParaRPr lang="en-US" sz="1000"/>
              </a:p>
            </xdr:txBody>
          </xdr:sp>
        </mc:Fallback>
      </mc:AlternateContent>
      <xdr:cxnSp macro="">
        <xdr:nvCxnSpPr>
          <xdr:cNvPr id="394" name="Conector recto de flecha 393">
            <a:extLst>
              <a:ext uri="{FF2B5EF4-FFF2-40B4-BE49-F238E27FC236}">
                <a16:creationId xmlns:a16="http://schemas.microsoft.com/office/drawing/2014/main" id="{D5862567-3BC8-4B75-87E1-EDCF829385DF}"/>
              </a:ext>
            </a:extLst>
          </xdr:cNvPr>
          <xdr:cNvCxnSpPr>
            <a:cxnSpLocks/>
          </xdr:cNvCxnSpPr>
        </xdr:nvCxnSpPr>
        <xdr:spPr>
          <a:xfrm>
            <a:off x="18478746" y="6827932"/>
            <a:ext cx="627176" cy="0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95" name="CuadroTexto 360">
                <a:extLst>
                  <a:ext uri="{FF2B5EF4-FFF2-40B4-BE49-F238E27FC236}">
                    <a16:creationId xmlns:a16="http://schemas.microsoft.com/office/drawing/2014/main" id="{4CB3E3A9-671C-4BBF-85FF-7DA370CEDA8B}"/>
                  </a:ext>
                </a:extLst>
              </xdr:cNvPr>
              <xdr:cNvSpPr txBox="1"/>
            </xdr:nvSpPr>
            <xdr:spPr>
              <a:xfrm>
                <a:off x="18380681" y="6495731"/>
                <a:ext cx="638876" cy="27808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𝑑𝑖𝑒𝑠𝑒𝑙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395" name="CuadroTexto 360">
                <a:extLst>
                  <a:ext uri="{FF2B5EF4-FFF2-40B4-BE49-F238E27FC236}">
                    <a16:creationId xmlns:a16="http://schemas.microsoft.com/office/drawing/2014/main" id="{4CB3E3A9-671C-4BBF-85FF-7DA370CEDA8B}"/>
                  </a:ext>
                </a:extLst>
              </xdr:cNvPr>
              <xdr:cNvSpPr txBox="1"/>
            </xdr:nvSpPr>
            <xdr:spPr>
              <a:xfrm>
                <a:off x="18380681" y="6495731"/>
                <a:ext cx="638876" cy="27808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n-US" sz="1100" b="0" i="0">
                    <a:latin typeface="Cambria Math" panose="02040503050406030204" pitchFamily="18" charset="0"/>
                  </a:rPr>
                  <a:t>𝑑𝑖𝑒𝑠𝑒𝑙</a:t>
                </a:r>
                <a:endParaRPr lang="en-US" sz="1100"/>
              </a:p>
            </xdr:txBody>
          </xdr:sp>
        </mc:Fallback>
      </mc:AlternateContent>
      <xdr:grpSp>
        <xdr:nvGrpSpPr>
          <xdr:cNvPr id="396" name="Grupo 395">
            <a:extLst>
              <a:ext uri="{FF2B5EF4-FFF2-40B4-BE49-F238E27FC236}">
                <a16:creationId xmlns:a16="http://schemas.microsoft.com/office/drawing/2014/main" id="{E5416252-601F-4835-8CFD-B5C46C3A1421}"/>
              </a:ext>
            </a:extLst>
          </xdr:cNvPr>
          <xdr:cNvGrpSpPr/>
        </xdr:nvGrpSpPr>
        <xdr:grpSpPr>
          <a:xfrm>
            <a:off x="13521390" y="7126521"/>
            <a:ext cx="278475" cy="285964"/>
            <a:chOff x="1951500" y="9092283"/>
            <a:chExt cx="288000" cy="288000"/>
          </a:xfrm>
        </xdr:grpSpPr>
        <xdr:sp macro="" textlink="">
          <xdr:nvSpPr>
            <xdr:cNvPr id="397" name="Elipse 396">
              <a:extLst>
                <a:ext uri="{FF2B5EF4-FFF2-40B4-BE49-F238E27FC236}">
                  <a16:creationId xmlns:a16="http://schemas.microsoft.com/office/drawing/2014/main" id="{6429AFD8-626C-32B8-A1C3-4062801F6D69}"/>
                </a:ext>
              </a:extLst>
            </xdr:cNvPr>
            <xdr:cNvSpPr/>
          </xdr:nvSpPr>
          <xdr:spPr>
            <a:xfrm rot="5400000" flipH="1">
              <a:off x="1951500" y="9092283"/>
              <a:ext cx="288000" cy="288000"/>
            </a:xfrm>
            <a:prstGeom prst="ellipse">
              <a:avLst/>
            </a:prstGeom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657"/>
            </a:p>
          </xdr:txBody>
        </xdr:sp>
        <xdr:sp macro="" textlink="">
          <xdr:nvSpPr>
            <xdr:cNvPr id="398" name="Rectángulo 397">
              <a:extLst>
                <a:ext uri="{FF2B5EF4-FFF2-40B4-BE49-F238E27FC236}">
                  <a16:creationId xmlns:a16="http://schemas.microsoft.com/office/drawing/2014/main" id="{1DBBF777-3AC4-7C09-79D9-3A22C4CC088E}"/>
                </a:ext>
              </a:extLst>
            </xdr:cNvPr>
            <xdr:cNvSpPr/>
          </xdr:nvSpPr>
          <xdr:spPr>
            <a:xfrm rot="2699776">
              <a:off x="2005500" y="9146283"/>
              <a:ext cx="180000" cy="180000"/>
            </a:xfrm>
            <a:prstGeom prst="rect">
              <a:avLst/>
            </a:prstGeom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/>
            </a:p>
          </xdr:txBody>
        </xdr:sp>
      </xdr:grpSp>
      <xdr:grpSp>
        <xdr:nvGrpSpPr>
          <xdr:cNvPr id="399" name="Grupo 398">
            <a:extLst>
              <a:ext uri="{FF2B5EF4-FFF2-40B4-BE49-F238E27FC236}">
                <a16:creationId xmlns:a16="http://schemas.microsoft.com/office/drawing/2014/main" id="{CD76474B-972D-4BE9-8D09-0AACF500E5D2}"/>
              </a:ext>
            </a:extLst>
          </xdr:cNvPr>
          <xdr:cNvGrpSpPr/>
        </xdr:nvGrpSpPr>
        <xdr:grpSpPr>
          <a:xfrm>
            <a:off x="16240497" y="6457334"/>
            <a:ext cx="1058229" cy="515798"/>
            <a:chOff x="18282052" y="6363218"/>
            <a:chExt cx="1231410" cy="518855"/>
          </a:xfrm>
        </xdr:grpSpPr>
        <xdr:grpSp>
          <xdr:nvGrpSpPr>
            <xdr:cNvPr id="400" name="Grupo 399">
              <a:extLst>
                <a:ext uri="{FF2B5EF4-FFF2-40B4-BE49-F238E27FC236}">
                  <a16:creationId xmlns:a16="http://schemas.microsoft.com/office/drawing/2014/main" id="{B3A7D87E-C38A-961A-CE44-C45B968C60AC}"/>
                </a:ext>
              </a:extLst>
            </xdr:cNvPr>
            <xdr:cNvGrpSpPr/>
          </xdr:nvGrpSpPr>
          <xdr:grpSpPr>
            <a:xfrm>
              <a:off x="18282052" y="6582242"/>
              <a:ext cx="853410" cy="299831"/>
              <a:chOff x="1617391" y="8551315"/>
              <a:chExt cx="853410" cy="296903"/>
            </a:xfrm>
          </xdr:grpSpPr>
          <xdr:sp macro="" textlink="">
            <xdr:nvSpPr>
              <xdr:cNvPr id="404" name="Elipse 403">
                <a:extLst>
                  <a:ext uri="{FF2B5EF4-FFF2-40B4-BE49-F238E27FC236}">
                    <a16:creationId xmlns:a16="http://schemas.microsoft.com/office/drawing/2014/main" id="{FAEB3692-34C5-1608-E769-13E935393453}"/>
                  </a:ext>
                </a:extLst>
              </xdr:cNvPr>
              <xdr:cNvSpPr/>
            </xdr:nvSpPr>
            <xdr:spPr>
              <a:xfrm rot="5400000" flipH="1">
                <a:off x="1617391" y="8560218"/>
                <a:ext cx="288000" cy="288000"/>
              </a:xfrm>
              <a:prstGeom prst="ellipse">
                <a:avLst/>
              </a:prstGeom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CO" sz="2657"/>
              </a:p>
            </xdr:txBody>
          </xdr:sp>
          <xdr:cxnSp macro="">
            <xdr:nvCxnSpPr>
              <xdr:cNvPr id="405" name="Conector recto de flecha 404">
                <a:extLst>
                  <a:ext uri="{FF2B5EF4-FFF2-40B4-BE49-F238E27FC236}">
                    <a16:creationId xmlns:a16="http://schemas.microsoft.com/office/drawing/2014/main" id="{AEF1E926-C853-5A2E-615A-89074F6CCC64}"/>
                  </a:ext>
                </a:extLst>
              </xdr:cNvPr>
              <xdr:cNvCxnSpPr>
                <a:cxnSpLocks/>
                <a:endCxn id="402" idx="1"/>
              </xdr:cNvCxnSpPr>
            </xdr:nvCxnSpPr>
            <xdr:spPr>
              <a:xfrm>
                <a:off x="1659568" y="8800039"/>
                <a:ext cx="757233" cy="8408"/>
              </a:xfrm>
              <a:prstGeom prst="straightConnector1">
                <a:avLst/>
              </a:prstGeom>
              <a:ln w="19050"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06" name="Conector recto de flecha 405">
                <a:extLst>
                  <a:ext uri="{FF2B5EF4-FFF2-40B4-BE49-F238E27FC236}">
                    <a16:creationId xmlns:a16="http://schemas.microsoft.com/office/drawing/2014/main" id="{63169D41-FB42-CC6F-F401-4B367F422EC0}"/>
                  </a:ext>
                </a:extLst>
              </xdr:cNvPr>
              <xdr:cNvCxnSpPr>
                <a:cxnSpLocks/>
                <a:endCxn id="403" idx="1"/>
              </xdr:cNvCxnSpPr>
            </xdr:nvCxnSpPr>
            <xdr:spPr>
              <a:xfrm flipV="1">
                <a:off x="1659568" y="8551315"/>
                <a:ext cx="811233" cy="58227"/>
              </a:xfrm>
              <a:prstGeom prst="straightConnector1">
                <a:avLst/>
              </a:prstGeom>
              <a:ln w="19050"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07" name="Conector recto de flecha 406">
                <a:extLst>
                  <a:ext uri="{FF2B5EF4-FFF2-40B4-BE49-F238E27FC236}">
                    <a16:creationId xmlns:a16="http://schemas.microsoft.com/office/drawing/2014/main" id="{353A88F5-19EF-3E6B-A13B-6D0D5D249E69}"/>
                  </a:ext>
                </a:extLst>
              </xdr:cNvPr>
              <xdr:cNvCxnSpPr>
                <a:cxnSpLocks/>
                <a:stCxn id="404" idx="3"/>
                <a:endCxn id="404" idx="0"/>
              </xdr:cNvCxnSpPr>
            </xdr:nvCxnSpPr>
            <xdr:spPr>
              <a:xfrm flipV="1">
                <a:off x="1659568" y="8704218"/>
                <a:ext cx="245823" cy="101823"/>
              </a:xfrm>
              <a:prstGeom prst="straightConnector1">
                <a:avLst/>
              </a:prstGeom>
              <a:ln w="19050"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08" name="Conector recto de flecha 407">
                <a:extLst>
                  <a:ext uri="{FF2B5EF4-FFF2-40B4-BE49-F238E27FC236}">
                    <a16:creationId xmlns:a16="http://schemas.microsoft.com/office/drawing/2014/main" id="{F3FAB974-CB4E-B7EB-4E78-18087FACBD68}"/>
                  </a:ext>
                </a:extLst>
              </xdr:cNvPr>
              <xdr:cNvCxnSpPr>
                <a:cxnSpLocks/>
                <a:stCxn id="404" idx="5"/>
                <a:endCxn id="404" idx="0"/>
              </xdr:cNvCxnSpPr>
            </xdr:nvCxnSpPr>
            <xdr:spPr>
              <a:xfrm>
                <a:off x="1659568" y="8602395"/>
                <a:ext cx="245823" cy="101823"/>
              </a:xfrm>
              <a:prstGeom prst="straightConnector1">
                <a:avLst/>
              </a:prstGeom>
              <a:ln w="19050"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01" name="Grupo 400">
              <a:extLst>
                <a:ext uri="{FF2B5EF4-FFF2-40B4-BE49-F238E27FC236}">
                  <a16:creationId xmlns:a16="http://schemas.microsoft.com/office/drawing/2014/main" id="{856EEC08-BD88-9667-350A-FC3DDB30CDF4}"/>
                </a:ext>
              </a:extLst>
            </xdr:cNvPr>
            <xdr:cNvGrpSpPr/>
          </xdr:nvGrpSpPr>
          <xdr:grpSpPr>
            <a:xfrm>
              <a:off x="19081462" y="6363218"/>
              <a:ext cx="432000" cy="515492"/>
              <a:chOff x="15928731" y="6601559"/>
              <a:chExt cx="432000" cy="506442"/>
            </a:xfrm>
          </xdr:grpSpPr>
          <xdr:sp macro="" textlink="">
            <xdr:nvSpPr>
              <xdr:cNvPr id="402" name="Rectángulo 401">
                <a:extLst>
                  <a:ext uri="{FF2B5EF4-FFF2-40B4-BE49-F238E27FC236}">
                    <a16:creationId xmlns:a16="http://schemas.microsoft.com/office/drawing/2014/main" id="{CAA1E3D4-352B-83E0-3899-046B302A8CA9}"/>
                  </a:ext>
                </a:extLst>
              </xdr:cNvPr>
              <xdr:cNvSpPr/>
            </xdr:nvSpPr>
            <xdr:spPr>
              <a:xfrm>
                <a:off x="15928731" y="7036001"/>
                <a:ext cx="432000" cy="72000"/>
              </a:xfrm>
              <a:prstGeom prst="rect">
                <a:avLst/>
              </a:prstGeom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CO" sz="1100"/>
              </a:p>
            </xdr:txBody>
          </xdr:sp>
          <xdr:sp macro="" textlink="">
            <xdr:nvSpPr>
              <xdr:cNvPr id="403" name="Trapecio 402">
                <a:extLst>
                  <a:ext uri="{FF2B5EF4-FFF2-40B4-BE49-F238E27FC236}">
                    <a16:creationId xmlns:a16="http://schemas.microsoft.com/office/drawing/2014/main" id="{188194D4-7E3B-FF10-6A76-4488A1DDFE41}"/>
                  </a:ext>
                </a:extLst>
              </xdr:cNvPr>
              <xdr:cNvSpPr/>
            </xdr:nvSpPr>
            <xdr:spPr>
              <a:xfrm>
                <a:off x="15928731" y="6601559"/>
                <a:ext cx="432000" cy="432000"/>
              </a:xfrm>
              <a:prstGeom prst="trapezoid">
                <a:avLst/>
              </a:prstGeom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CO" sz="1100"/>
              </a:p>
            </xdr:txBody>
          </xdr:sp>
        </xdr:grpSp>
      </xdr:grpSp>
      <xdr:cxnSp macro="">
        <xdr:nvCxnSpPr>
          <xdr:cNvPr id="409" name="Conector: angular 408">
            <a:extLst>
              <a:ext uri="{FF2B5EF4-FFF2-40B4-BE49-F238E27FC236}">
                <a16:creationId xmlns:a16="http://schemas.microsoft.com/office/drawing/2014/main" id="{2A879092-7487-4CED-AA40-5B459DF942DA}"/>
              </a:ext>
            </a:extLst>
          </xdr:cNvPr>
          <xdr:cNvCxnSpPr>
            <a:cxnSpLocks noChangeAspect="1"/>
            <a:stCxn id="379" idx="0"/>
            <a:endCxn id="370" idx="4"/>
          </xdr:cNvCxnSpPr>
        </xdr:nvCxnSpPr>
        <xdr:spPr>
          <a:xfrm rot="5400000" flipH="1" flipV="1">
            <a:off x="14919201" y="1178866"/>
            <a:ext cx="124522" cy="2677849"/>
          </a:xfrm>
          <a:prstGeom prst="bentConnector3">
            <a:avLst>
              <a:gd name="adj1" fmla="val 1029511"/>
            </a:avLst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410" name="Conector: angular 409">
            <a:extLst>
              <a:ext uri="{FF2B5EF4-FFF2-40B4-BE49-F238E27FC236}">
                <a16:creationId xmlns:a16="http://schemas.microsoft.com/office/drawing/2014/main" id="{75330476-3866-4C8C-B95C-0BECE3383F14}"/>
              </a:ext>
            </a:extLst>
          </xdr:cNvPr>
          <xdr:cNvCxnSpPr>
            <a:cxnSpLocks noChangeAspect="1"/>
            <a:stCxn id="404" idx="2"/>
            <a:endCxn id="397" idx="0"/>
          </xdr:cNvCxnSpPr>
        </xdr:nvCxnSpPr>
        <xdr:spPr>
          <a:xfrm rot="5400000">
            <a:off x="14943998" y="5829002"/>
            <a:ext cx="296369" cy="2584632"/>
          </a:xfrm>
          <a:prstGeom prst="bentConnector2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411" name="Conector recto de flecha 410">
            <a:extLst>
              <a:ext uri="{FF2B5EF4-FFF2-40B4-BE49-F238E27FC236}">
                <a16:creationId xmlns:a16="http://schemas.microsoft.com/office/drawing/2014/main" id="{C965DCD1-74EE-429B-94FB-B6678A1C99CC}"/>
              </a:ext>
            </a:extLst>
          </xdr:cNvPr>
          <xdr:cNvCxnSpPr>
            <a:cxnSpLocks/>
            <a:stCxn id="397" idx="6"/>
            <a:endCxn id="414" idx="3"/>
          </xdr:cNvCxnSpPr>
        </xdr:nvCxnSpPr>
        <xdr:spPr>
          <a:xfrm flipH="1" flipV="1">
            <a:off x="13654005" y="4215183"/>
            <a:ext cx="11386" cy="2911339"/>
          </a:xfrm>
          <a:prstGeom prst="straightConnector1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412" name="Conector recto de flecha 411">
            <a:extLst>
              <a:ext uri="{FF2B5EF4-FFF2-40B4-BE49-F238E27FC236}">
                <a16:creationId xmlns:a16="http://schemas.microsoft.com/office/drawing/2014/main" id="{270100AE-768F-455B-A343-28366D7D095F}"/>
              </a:ext>
            </a:extLst>
          </xdr:cNvPr>
          <xdr:cNvCxnSpPr>
            <a:cxnSpLocks/>
            <a:stCxn id="382" idx="0"/>
            <a:endCxn id="414" idx="0"/>
          </xdr:cNvCxnSpPr>
        </xdr:nvCxnSpPr>
        <xdr:spPr>
          <a:xfrm>
            <a:off x="13037877" y="4027298"/>
            <a:ext cx="436128" cy="8903"/>
          </a:xfrm>
          <a:prstGeom prst="straightConnector1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grpSp>
        <xdr:nvGrpSpPr>
          <xdr:cNvPr id="413" name="Grupo 412">
            <a:extLst>
              <a:ext uri="{FF2B5EF4-FFF2-40B4-BE49-F238E27FC236}">
                <a16:creationId xmlns:a16="http://schemas.microsoft.com/office/drawing/2014/main" id="{5A553581-D122-41A1-BC00-5161068776ED}"/>
              </a:ext>
            </a:extLst>
          </xdr:cNvPr>
          <xdr:cNvGrpSpPr/>
        </xdr:nvGrpSpPr>
        <xdr:grpSpPr>
          <a:xfrm>
            <a:off x="13474005" y="3851035"/>
            <a:ext cx="331425" cy="364148"/>
            <a:chOff x="16093838" y="4232610"/>
            <a:chExt cx="360000" cy="352396"/>
          </a:xfrm>
        </xdr:grpSpPr>
        <xdr:sp macro="" textlink="">
          <xdr:nvSpPr>
            <xdr:cNvPr id="414" name="Rectángulo: esquinas superiores redondeadas 413">
              <a:extLst>
                <a:ext uri="{FF2B5EF4-FFF2-40B4-BE49-F238E27FC236}">
                  <a16:creationId xmlns:a16="http://schemas.microsoft.com/office/drawing/2014/main" id="{B3238DE3-9965-BE2E-206C-4A379016C9C5}"/>
                </a:ext>
              </a:extLst>
            </xdr:cNvPr>
            <xdr:cNvSpPr/>
          </xdr:nvSpPr>
          <xdr:spPr>
            <a:xfrm rot="10800000">
              <a:off x="16093838" y="4232610"/>
              <a:ext cx="360000" cy="352396"/>
            </a:xfrm>
            <a:prstGeom prst="round2SameRect">
              <a:avLst>
                <a:gd name="adj1" fmla="val 50000"/>
                <a:gd name="adj2" fmla="val 0"/>
              </a:avLst>
            </a:prstGeom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cxnSp macro="">
          <xdr:nvCxnSpPr>
            <xdr:cNvPr id="415" name="Conector recto 414">
              <a:extLst>
                <a:ext uri="{FF2B5EF4-FFF2-40B4-BE49-F238E27FC236}">
                  <a16:creationId xmlns:a16="http://schemas.microsoft.com/office/drawing/2014/main" id="{F22119DF-B96E-7D65-94F4-6BFC7C18CB32}"/>
                </a:ext>
              </a:extLst>
            </xdr:cNvPr>
            <xdr:cNvCxnSpPr/>
          </xdr:nvCxnSpPr>
          <xdr:spPr>
            <a:xfrm flipH="1">
              <a:off x="16277962" y="4299857"/>
              <a:ext cx="105038" cy="103050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6" name="Conector recto 415">
              <a:extLst>
                <a:ext uri="{FF2B5EF4-FFF2-40B4-BE49-F238E27FC236}">
                  <a16:creationId xmlns:a16="http://schemas.microsoft.com/office/drawing/2014/main" id="{2630AF9E-73DB-6F32-B25B-BACE8A844D08}"/>
                </a:ext>
              </a:extLst>
            </xdr:cNvPr>
            <xdr:cNvCxnSpPr/>
          </xdr:nvCxnSpPr>
          <xdr:spPr>
            <a:xfrm flipH="1" flipV="1">
              <a:off x="16175491" y="4303259"/>
              <a:ext cx="98801" cy="100623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7" name="Conector recto 416">
              <a:extLst>
                <a:ext uri="{FF2B5EF4-FFF2-40B4-BE49-F238E27FC236}">
                  <a16:creationId xmlns:a16="http://schemas.microsoft.com/office/drawing/2014/main" id="{929916C2-E7E2-829C-15C3-5BC40F05C2EF}"/>
                </a:ext>
              </a:extLst>
            </xdr:cNvPr>
            <xdr:cNvCxnSpPr/>
          </xdr:nvCxnSpPr>
          <xdr:spPr>
            <a:xfrm rot="5400000">
              <a:off x="16201211" y="4473182"/>
              <a:ext cx="144000" cy="166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18" name="Conector recto de flecha 417">
            <a:extLst>
              <a:ext uri="{FF2B5EF4-FFF2-40B4-BE49-F238E27FC236}">
                <a16:creationId xmlns:a16="http://schemas.microsoft.com/office/drawing/2014/main" id="{C6B1D8AC-B0B0-46BF-952F-7216CCE9A22F}"/>
              </a:ext>
            </a:extLst>
          </xdr:cNvPr>
          <xdr:cNvCxnSpPr>
            <a:cxnSpLocks/>
            <a:stCxn id="414" idx="1"/>
            <a:endCxn id="379" idx="2"/>
          </xdr:cNvCxnSpPr>
        </xdr:nvCxnSpPr>
        <xdr:spPr>
          <a:xfrm flipH="1" flipV="1">
            <a:off x="13642538" y="3296752"/>
            <a:ext cx="11467" cy="554283"/>
          </a:xfrm>
          <a:prstGeom prst="straightConnector1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419" name="Conector recto de flecha 418">
            <a:extLst>
              <a:ext uri="{FF2B5EF4-FFF2-40B4-BE49-F238E27FC236}">
                <a16:creationId xmlns:a16="http://schemas.microsoft.com/office/drawing/2014/main" id="{CC14F73C-14AD-4B08-9D15-73391750A795}"/>
              </a:ext>
            </a:extLst>
          </xdr:cNvPr>
          <xdr:cNvCxnSpPr>
            <a:cxnSpLocks/>
            <a:endCxn id="414" idx="2"/>
          </xdr:cNvCxnSpPr>
        </xdr:nvCxnSpPr>
        <xdr:spPr>
          <a:xfrm flipH="1">
            <a:off x="13805430" y="4027531"/>
            <a:ext cx="413547" cy="8670"/>
          </a:xfrm>
          <a:prstGeom prst="straightConnector1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420" name="Conector: angular 419">
            <a:extLst>
              <a:ext uri="{FF2B5EF4-FFF2-40B4-BE49-F238E27FC236}">
                <a16:creationId xmlns:a16="http://schemas.microsoft.com/office/drawing/2014/main" id="{1DFAF9D8-8AC6-4932-8594-C40F1C1AEADA}"/>
              </a:ext>
            </a:extLst>
          </xdr:cNvPr>
          <xdr:cNvCxnSpPr>
            <a:stCxn id="379" idx="3"/>
          </xdr:cNvCxnSpPr>
        </xdr:nvCxnSpPr>
        <xdr:spPr>
          <a:xfrm flipV="1">
            <a:off x="14091902" y="2361457"/>
            <a:ext cx="428939" cy="573851"/>
          </a:xfrm>
          <a:prstGeom prst="bentConnector2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21" name="CuadroTexto 95">
                <a:extLst>
                  <a:ext uri="{FF2B5EF4-FFF2-40B4-BE49-F238E27FC236}">
                    <a16:creationId xmlns:a16="http://schemas.microsoft.com/office/drawing/2014/main" id="{E6D7DF0A-6C30-4A2C-B9A0-6A6935B8D27F}"/>
                  </a:ext>
                </a:extLst>
              </xdr:cNvPr>
              <xdr:cNvSpPr txBox="1"/>
            </xdr:nvSpPr>
            <xdr:spPr>
              <a:xfrm flipH="1">
                <a:off x="14520841" y="2396836"/>
                <a:ext cx="638491" cy="263799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000" b="0" i="1">
                          <a:latin typeface="Cambria Math" panose="02040503050406030204" pitchFamily="18" charset="0"/>
                        </a:rPr>
                        <m:t>𝐶𝑙𝑒𝑎𝑛𝑖𝑛𝑔</m:t>
                      </m:r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421" name="CuadroTexto 95">
                <a:extLst>
                  <a:ext uri="{FF2B5EF4-FFF2-40B4-BE49-F238E27FC236}">
                    <a16:creationId xmlns:a16="http://schemas.microsoft.com/office/drawing/2014/main" id="{E6D7DF0A-6C30-4A2C-B9A0-6A6935B8D27F}"/>
                  </a:ext>
                </a:extLst>
              </xdr:cNvPr>
              <xdr:cNvSpPr txBox="1"/>
            </xdr:nvSpPr>
            <xdr:spPr>
              <a:xfrm flipH="1">
                <a:off x="14520841" y="2396836"/>
                <a:ext cx="638491" cy="263799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b="0" i="0">
                    <a:latin typeface="Cambria Math" panose="02040503050406030204" pitchFamily="18" charset="0"/>
                  </a:rPr>
                  <a:t>𝐶𝑙𝑒𝑎𝑛𝑖𝑛𝑔</a:t>
                </a:r>
                <a:endParaRPr lang="en-US" sz="1000"/>
              </a:p>
            </xdr:txBody>
          </xdr:sp>
        </mc:Fallback>
      </mc:AlternateContent>
      <xdr:sp macro="" textlink="">
        <xdr:nvSpPr>
          <xdr:cNvPr id="425" name="Rectángulo 424">
            <a:extLst>
              <a:ext uri="{FF2B5EF4-FFF2-40B4-BE49-F238E27FC236}">
                <a16:creationId xmlns:a16="http://schemas.microsoft.com/office/drawing/2014/main" id="{55206A55-33BD-4C58-9D43-5290D28BA373}"/>
              </a:ext>
            </a:extLst>
          </xdr:cNvPr>
          <xdr:cNvSpPr/>
        </xdr:nvSpPr>
        <xdr:spPr>
          <a:xfrm>
            <a:off x="17455491" y="3676402"/>
            <a:ext cx="906833" cy="55973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EFB drying</a:t>
            </a:r>
          </a:p>
        </xdr:txBody>
      </xdr:sp>
      <xdr:cxnSp macro="">
        <xdr:nvCxnSpPr>
          <xdr:cNvPr id="426" name="Conector recto de flecha 425">
            <a:extLst>
              <a:ext uri="{FF2B5EF4-FFF2-40B4-BE49-F238E27FC236}">
                <a16:creationId xmlns:a16="http://schemas.microsoft.com/office/drawing/2014/main" id="{15369AB8-EC71-4FD8-A496-1BE0C2F772A6}"/>
              </a:ext>
            </a:extLst>
          </xdr:cNvPr>
          <xdr:cNvCxnSpPr/>
        </xdr:nvCxnSpPr>
        <xdr:spPr>
          <a:xfrm flipV="1">
            <a:off x="18370880" y="3960915"/>
            <a:ext cx="277413" cy="5687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7" name="Conector recto de flecha 426">
            <a:extLst>
              <a:ext uri="{FF2B5EF4-FFF2-40B4-BE49-F238E27FC236}">
                <a16:creationId xmlns:a16="http://schemas.microsoft.com/office/drawing/2014/main" id="{3CBA7242-8476-484D-857A-68034D189997}"/>
              </a:ext>
            </a:extLst>
          </xdr:cNvPr>
          <xdr:cNvCxnSpPr>
            <a:cxnSpLocks/>
          </xdr:cNvCxnSpPr>
        </xdr:nvCxnSpPr>
        <xdr:spPr>
          <a:xfrm>
            <a:off x="18090078" y="3351068"/>
            <a:ext cx="0" cy="316257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28" name="Conector recto de flecha 427">
            <a:extLst>
              <a:ext uri="{FF2B5EF4-FFF2-40B4-BE49-F238E27FC236}">
                <a16:creationId xmlns:a16="http://schemas.microsoft.com/office/drawing/2014/main" id="{6C2D360A-495F-F18E-ECD8-B392E72C10E2}"/>
              </a:ext>
            </a:extLst>
          </xdr:cNvPr>
          <xdr:cNvCxnSpPr/>
        </xdr:nvCxnSpPr>
        <xdr:spPr>
          <a:xfrm flipV="1">
            <a:off x="17681370" y="3341543"/>
            <a:ext cx="1360" cy="31333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6" name="Conector recto de flecha 445">
            <a:extLst>
              <a:ext uri="{FF2B5EF4-FFF2-40B4-BE49-F238E27FC236}">
                <a16:creationId xmlns:a16="http://schemas.microsoft.com/office/drawing/2014/main" id="{3E5A2B37-8ACC-4171-9888-68306EEEF5B8}"/>
              </a:ext>
            </a:extLst>
          </xdr:cNvPr>
          <xdr:cNvCxnSpPr>
            <a:cxnSpLocks/>
          </xdr:cNvCxnSpPr>
        </xdr:nvCxnSpPr>
        <xdr:spPr>
          <a:xfrm flipH="1">
            <a:off x="7401791" y="2953616"/>
            <a:ext cx="5779797" cy="57150"/>
          </a:xfrm>
          <a:prstGeom prst="straightConnector1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508104</xdr:colOff>
      <xdr:row>12</xdr:row>
      <xdr:rowOff>36838</xdr:rowOff>
    </xdr:from>
    <xdr:to>
      <xdr:col>25</xdr:col>
      <xdr:colOff>374711</xdr:colOff>
      <xdr:row>14</xdr:row>
      <xdr:rowOff>13732</xdr:rowOff>
    </xdr:to>
    <xdr:cxnSp macro="">
      <xdr:nvCxnSpPr>
        <xdr:cNvPr id="2" name="Conector: angular 1">
          <a:extLst>
            <a:ext uri="{FF2B5EF4-FFF2-40B4-BE49-F238E27FC236}">
              <a16:creationId xmlns:a16="http://schemas.microsoft.com/office/drawing/2014/main" id="{B099B4D2-372E-4324-9163-F9859F6B312C}"/>
            </a:ext>
          </a:extLst>
        </xdr:cNvPr>
        <xdr:cNvCxnSpPr>
          <a:cxnSpLocks noChangeAspect="1"/>
          <a:stCxn id="91" idx="1"/>
        </xdr:cNvCxnSpPr>
      </xdr:nvCxnSpPr>
      <xdr:spPr>
        <a:xfrm rot="10800000">
          <a:off x="7185129" y="1865638"/>
          <a:ext cx="7172282" cy="281694"/>
        </a:xfrm>
        <a:prstGeom prst="bentConnector3">
          <a:avLst>
            <a:gd name="adj1" fmla="val 100000"/>
          </a:avLst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333306</xdr:colOff>
      <xdr:row>8</xdr:row>
      <xdr:rowOff>111890</xdr:rowOff>
    </xdr:from>
    <xdr:to>
      <xdr:col>5</xdr:col>
      <xdr:colOff>266017</xdr:colOff>
      <xdr:row>12</xdr:row>
      <xdr:rowOff>42538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7463E17-62D5-4D81-96BF-06F87A8A370D}"/>
            </a:ext>
          </a:extLst>
        </xdr:cNvPr>
        <xdr:cNvSpPr/>
      </xdr:nvSpPr>
      <xdr:spPr>
        <a:xfrm>
          <a:off x="2019231" y="1331090"/>
          <a:ext cx="1056661" cy="5402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Continuos</a:t>
          </a:r>
          <a:r>
            <a:rPr lang="es-CO" sz="1100"/>
            <a:t> </a:t>
          </a:r>
          <a:r>
            <a:rPr lang="en-US" sz="1100"/>
            <a:t>sterilization</a:t>
          </a:r>
        </a:p>
      </xdr:txBody>
    </xdr:sp>
    <xdr:clientData/>
  </xdr:twoCellAnchor>
  <xdr:twoCellAnchor>
    <xdr:from>
      <xdr:col>7</xdr:col>
      <xdr:colOff>225860</xdr:colOff>
      <xdr:row>8</xdr:row>
      <xdr:rowOff>100736</xdr:rowOff>
    </xdr:from>
    <xdr:to>
      <xdr:col>9</xdr:col>
      <xdr:colOff>158571</xdr:colOff>
      <xdr:row>12</xdr:row>
      <xdr:rowOff>31384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1BB7671-30A3-447C-808E-05AA1DD5B2C4}"/>
            </a:ext>
          </a:extLst>
        </xdr:cNvPr>
        <xdr:cNvSpPr/>
      </xdr:nvSpPr>
      <xdr:spPr>
        <a:xfrm>
          <a:off x="4159685" y="1319936"/>
          <a:ext cx="1056661" cy="5402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100"/>
            <a:t>Threshing</a:t>
          </a:r>
        </a:p>
      </xdr:txBody>
    </xdr:sp>
    <xdr:clientData/>
  </xdr:twoCellAnchor>
  <xdr:twoCellAnchor>
    <xdr:from>
      <xdr:col>11</xdr:col>
      <xdr:colOff>187685</xdr:colOff>
      <xdr:row>8</xdr:row>
      <xdr:rowOff>94352</xdr:rowOff>
    </xdr:from>
    <xdr:to>
      <xdr:col>13</xdr:col>
      <xdr:colOff>120396</xdr:colOff>
      <xdr:row>12</xdr:row>
      <xdr:rowOff>25000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8180FCA-C075-4BDC-B228-0D5A95AAAC78}"/>
            </a:ext>
          </a:extLst>
        </xdr:cNvPr>
        <xdr:cNvSpPr/>
      </xdr:nvSpPr>
      <xdr:spPr>
        <a:xfrm>
          <a:off x="6302735" y="1313552"/>
          <a:ext cx="1056661" cy="5402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100"/>
            <a:t>Digestion &amp; pressing</a:t>
          </a:r>
        </a:p>
      </xdr:txBody>
    </xdr:sp>
    <xdr:clientData/>
  </xdr:twoCellAnchor>
  <xdr:twoCellAnchor>
    <xdr:from>
      <xdr:col>11</xdr:col>
      <xdr:colOff>187685</xdr:colOff>
      <xdr:row>22</xdr:row>
      <xdr:rowOff>12516</xdr:rowOff>
    </xdr:from>
    <xdr:to>
      <xdr:col>13</xdr:col>
      <xdr:colOff>120396</xdr:colOff>
      <xdr:row>25</xdr:row>
      <xdr:rowOff>99028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2F548504-21B4-4C6D-B5E0-C6D73628223A}"/>
            </a:ext>
          </a:extLst>
        </xdr:cNvPr>
        <xdr:cNvSpPr/>
      </xdr:nvSpPr>
      <xdr:spPr>
        <a:xfrm>
          <a:off x="6302735" y="3365316"/>
          <a:ext cx="1056661" cy="54371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Fiber</a:t>
          </a:r>
          <a:r>
            <a:rPr lang="es-CO" sz="1100"/>
            <a:t> &amp; Nuts</a:t>
          </a:r>
        </a:p>
        <a:p>
          <a:pPr algn="ctr"/>
          <a:r>
            <a:rPr lang="en-US" sz="1100"/>
            <a:t>Separation</a:t>
          </a:r>
        </a:p>
      </xdr:txBody>
    </xdr:sp>
    <xdr:clientData/>
  </xdr:twoCellAnchor>
  <xdr:twoCellAnchor>
    <xdr:from>
      <xdr:col>18</xdr:col>
      <xdr:colOff>452761</xdr:colOff>
      <xdr:row>8</xdr:row>
      <xdr:rowOff>87586</xdr:rowOff>
    </xdr:from>
    <xdr:to>
      <xdr:col>20</xdr:col>
      <xdr:colOff>385472</xdr:colOff>
      <xdr:row>12</xdr:row>
      <xdr:rowOff>18234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9775289-1B01-41C3-9B76-C865058EB46F}"/>
            </a:ext>
          </a:extLst>
        </xdr:cNvPr>
        <xdr:cNvSpPr/>
      </xdr:nvSpPr>
      <xdr:spPr>
        <a:xfrm>
          <a:off x="10501636" y="1306786"/>
          <a:ext cx="1056661" cy="5402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100"/>
            <a:t>Oil storage</a:t>
          </a:r>
        </a:p>
      </xdr:txBody>
    </xdr:sp>
    <xdr:clientData/>
  </xdr:twoCellAnchor>
  <xdr:twoCellAnchor>
    <xdr:from>
      <xdr:col>15</xdr:col>
      <xdr:colOff>9714</xdr:colOff>
      <xdr:row>8</xdr:row>
      <xdr:rowOff>87586</xdr:rowOff>
    </xdr:from>
    <xdr:to>
      <xdr:col>16</xdr:col>
      <xdr:colOff>513925</xdr:colOff>
      <xdr:row>12</xdr:row>
      <xdr:rowOff>18234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22EF3FCA-D050-439F-A530-933B6F09475C}"/>
            </a:ext>
          </a:extLst>
        </xdr:cNvPr>
        <xdr:cNvSpPr/>
      </xdr:nvSpPr>
      <xdr:spPr>
        <a:xfrm>
          <a:off x="8372664" y="1306786"/>
          <a:ext cx="1066186" cy="5402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Dynamic Clarification</a:t>
          </a:r>
        </a:p>
      </xdr:txBody>
    </xdr:sp>
    <xdr:clientData/>
  </xdr:twoCellAnchor>
  <xdr:twoCellAnchor>
    <xdr:from>
      <xdr:col>7</xdr:col>
      <xdr:colOff>225860</xdr:colOff>
      <xdr:row>22</xdr:row>
      <xdr:rowOff>6451</xdr:rowOff>
    </xdr:from>
    <xdr:to>
      <xdr:col>9</xdr:col>
      <xdr:colOff>158571</xdr:colOff>
      <xdr:row>25</xdr:row>
      <xdr:rowOff>92963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EE4FBE96-DE33-43FE-A594-95727A454059}"/>
            </a:ext>
          </a:extLst>
        </xdr:cNvPr>
        <xdr:cNvSpPr/>
      </xdr:nvSpPr>
      <xdr:spPr>
        <a:xfrm>
          <a:off x="4159685" y="3359251"/>
          <a:ext cx="1056661" cy="54371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EFB Pressing</a:t>
          </a:r>
        </a:p>
      </xdr:txBody>
    </xdr:sp>
    <xdr:clientData/>
  </xdr:twoCellAnchor>
  <xdr:twoCellAnchor>
    <xdr:from>
      <xdr:col>2</xdr:col>
      <xdr:colOff>43260</xdr:colOff>
      <xdr:row>10</xdr:row>
      <xdr:rowOff>77215</xdr:rowOff>
    </xdr:from>
    <xdr:to>
      <xdr:col>3</xdr:col>
      <xdr:colOff>333306</xdr:colOff>
      <xdr:row>10</xdr:row>
      <xdr:rowOff>83792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512CF516-2C22-4237-881E-D408E4E57C67}"/>
            </a:ext>
          </a:extLst>
        </xdr:cNvPr>
        <xdr:cNvCxnSpPr>
          <a:cxnSpLocks/>
          <a:endCxn id="3" idx="1"/>
        </xdr:cNvCxnSpPr>
      </xdr:nvCxnSpPr>
      <xdr:spPr>
        <a:xfrm flipV="1">
          <a:off x="1167210" y="1601215"/>
          <a:ext cx="852021" cy="6577"/>
        </a:xfrm>
        <a:prstGeom prst="straightConnector1">
          <a:avLst/>
        </a:prstGeom>
        <a:ln w="190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40181</xdr:colOff>
      <xdr:row>8</xdr:row>
      <xdr:rowOff>63076</xdr:rowOff>
    </xdr:from>
    <xdr:to>
      <xdr:col>3</xdr:col>
      <xdr:colOff>194148</xdr:colOff>
      <xdr:row>10</xdr:row>
      <xdr:rowOff>19791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28">
              <a:extLst>
                <a:ext uri="{FF2B5EF4-FFF2-40B4-BE49-F238E27FC236}">
                  <a16:creationId xmlns:a16="http://schemas.microsoft.com/office/drawing/2014/main" id="{B2E0FD6D-26DE-46B8-A4D7-3084D411311D}"/>
                </a:ext>
              </a:extLst>
            </xdr:cNvPr>
            <xdr:cNvSpPr txBox="1"/>
          </xdr:nvSpPr>
          <xdr:spPr>
            <a:xfrm>
              <a:off x="1164131" y="1282276"/>
              <a:ext cx="715942" cy="261515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</a:rPr>
                      <m:t>𝑅𝐹𝐹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CuadroTexto 128">
              <a:extLst>
                <a:ext uri="{FF2B5EF4-FFF2-40B4-BE49-F238E27FC236}">
                  <a16:creationId xmlns:a16="http://schemas.microsoft.com/office/drawing/2014/main" id="{B2E0FD6D-26DE-46B8-A4D7-3084D411311D}"/>
                </a:ext>
              </a:extLst>
            </xdr:cNvPr>
            <xdr:cNvSpPr txBox="1"/>
          </xdr:nvSpPr>
          <xdr:spPr>
            <a:xfrm>
              <a:off x="1164131" y="1282276"/>
              <a:ext cx="715942" cy="261515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100" i="0">
                  <a:latin typeface="Cambria Math" panose="02040503050406030204" pitchFamily="18" charset="0"/>
                </a:rPr>
                <a:t>𝑅𝐹𝐹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13</xdr:col>
      <xdr:colOff>120397</xdr:colOff>
      <xdr:row>23</xdr:row>
      <xdr:rowOff>133583</xdr:rowOff>
    </xdr:from>
    <xdr:to>
      <xdr:col>15</xdr:col>
      <xdr:colOff>9714</xdr:colOff>
      <xdr:row>23</xdr:row>
      <xdr:rowOff>133703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84666E6A-D7E6-4C27-B85C-ACF5EC2C4D9D}"/>
            </a:ext>
          </a:extLst>
        </xdr:cNvPr>
        <xdr:cNvCxnSpPr>
          <a:cxnSpLocks/>
          <a:stCxn id="6" idx="3"/>
          <a:endCxn id="16" idx="1"/>
        </xdr:cNvCxnSpPr>
      </xdr:nvCxnSpPr>
      <xdr:spPr>
        <a:xfrm flipV="1">
          <a:off x="7359397" y="3638783"/>
          <a:ext cx="1013267" cy="120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120397</xdr:colOff>
      <xdr:row>10</xdr:row>
      <xdr:rowOff>52909</xdr:rowOff>
    </xdr:from>
    <xdr:to>
      <xdr:col>15</xdr:col>
      <xdr:colOff>9714</xdr:colOff>
      <xdr:row>10</xdr:row>
      <xdr:rowOff>59677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82972D43-D49E-422D-8578-0B09A0D8DCC8}"/>
            </a:ext>
          </a:extLst>
        </xdr:cNvPr>
        <xdr:cNvCxnSpPr>
          <a:cxnSpLocks/>
          <a:stCxn id="5" idx="3"/>
          <a:endCxn id="8" idx="1"/>
        </xdr:cNvCxnSpPr>
      </xdr:nvCxnSpPr>
      <xdr:spPr>
        <a:xfrm flipV="1">
          <a:off x="7359397" y="1576909"/>
          <a:ext cx="1013267" cy="6768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154041</xdr:colOff>
      <xdr:row>12</xdr:row>
      <xdr:rowOff>25000</xdr:rowOff>
    </xdr:from>
    <xdr:to>
      <xdr:col>12</xdr:col>
      <xdr:colOff>154041</xdr:colOff>
      <xdr:row>22</xdr:row>
      <xdr:rowOff>12516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C4E2C12C-6649-4A89-8A42-62E9DA4E848E}"/>
            </a:ext>
          </a:extLst>
        </xdr:cNvPr>
        <xdr:cNvCxnSpPr>
          <a:cxnSpLocks/>
          <a:stCxn id="5" idx="2"/>
          <a:endCxn id="6" idx="0"/>
        </xdr:cNvCxnSpPr>
      </xdr:nvCxnSpPr>
      <xdr:spPr>
        <a:xfrm>
          <a:off x="6831066" y="1853800"/>
          <a:ext cx="0" cy="151151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192216</xdr:colOff>
      <xdr:row>12</xdr:row>
      <xdr:rowOff>31384</xdr:rowOff>
    </xdr:from>
    <xdr:to>
      <xdr:col>8</xdr:col>
      <xdr:colOff>192216</xdr:colOff>
      <xdr:row>22</xdr:row>
      <xdr:rowOff>6451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C3B3E906-840B-400A-84C5-6903C16DE227}"/>
            </a:ext>
          </a:extLst>
        </xdr:cNvPr>
        <xdr:cNvCxnSpPr>
          <a:cxnSpLocks/>
          <a:stCxn id="4" idx="2"/>
          <a:endCxn id="9" idx="0"/>
        </xdr:cNvCxnSpPr>
      </xdr:nvCxnSpPr>
      <xdr:spPr>
        <a:xfrm>
          <a:off x="4688016" y="1860184"/>
          <a:ext cx="0" cy="149906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9714</xdr:colOff>
      <xdr:row>22</xdr:row>
      <xdr:rowOff>12396</xdr:rowOff>
    </xdr:from>
    <xdr:to>
      <xdr:col>16</xdr:col>
      <xdr:colOff>513925</xdr:colOff>
      <xdr:row>25</xdr:row>
      <xdr:rowOff>98908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DC153FB1-AD3F-4066-819E-DBB7CBF18C13}"/>
            </a:ext>
          </a:extLst>
        </xdr:cNvPr>
        <xdr:cNvSpPr/>
      </xdr:nvSpPr>
      <xdr:spPr>
        <a:xfrm>
          <a:off x="8372664" y="3365196"/>
          <a:ext cx="1066186" cy="54371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100"/>
            <a:t>Kernel Recovery</a:t>
          </a:r>
        </a:p>
      </xdr:txBody>
    </xdr:sp>
    <xdr:clientData/>
  </xdr:twoCellAnchor>
  <xdr:twoCellAnchor>
    <xdr:from>
      <xdr:col>16</xdr:col>
      <xdr:colOff>513925</xdr:colOff>
      <xdr:row>10</xdr:row>
      <xdr:rowOff>52909</xdr:rowOff>
    </xdr:from>
    <xdr:to>
      <xdr:col>18</xdr:col>
      <xdr:colOff>452761</xdr:colOff>
      <xdr:row>10</xdr:row>
      <xdr:rowOff>52909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F1B694A-60D0-493D-8D61-6FED8BD78E43}"/>
            </a:ext>
          </a:extLst>
        </xdr:cNvPr>
        <xdr:cNvCxnSpPr>
          <a:cxnSpLocks/>
          <a:stCxn id="8" idx="3"/>
          <a:endCxn id="7" idx="1"/>
        </xdr:cNvCxnSpPr>
      </xdr:nvCxnSpPr>
      <xdr:spPr>
        <a:xfrm>
          <a:off x="9438850" y="1576909"/>
          <a:ext cx="106278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158571</xdr:colOff>
      <xdr:row>10</xdr:row>
      <xdr:rowOff>59677</xdr:rowOff>
    </xdr:from>
    <xdr:to>
      <xdr:col>11</xdr:col>
      <xdr:colOff>187685</xdr:colOff>
      <xdr:row>10</xdr:row>
      <xdr:rowOff>66061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5B36069F-DA75-4A4B-BCE3-FB5388B16BC2}"/>
            </a:ext>
          </a:extLst>
        </xdr:cNvPr>
        <xdr:cNvCxnSpPr>
          <a:cxnSpLocks/>
          <a:stCxn id="4" idx="3"/>
          <a:endCxn id="5" idx="1"/>
        </xdr:cNvCxnSpPr>
      </xdr:nvCxnSpPr>
      <xdr:spPr>
        <a:xfrm flipV="1">
          <a:off x="5216346" y="1583677"/>
          <a:ext cx="1086389" cy="6384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266017</xdr:colOff>
      <xdr:row>10</xdr:row>
      <xdr:rowOff>66061</xdr:rowOff>
    </xdr:from>
    <xdr:to>
      <xdr:col>7</xdr:col>
      <xdr:colOff>225860</xdr:colOff>
      <xdr:row>10</xdr:row>
      <xdr:rowOff>77215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50632EBD-49BC-4B6D-B013-4A5B503878EC}"/>
            </a:ext>
          </a:extLst>
        </xdr:cNvPr>
        <xdr:cNvCxnSpPr>
          <a:cxnSpLocks/>
          <a:stCxn id="3" idx="3"/>
          <a:endCxn id="4" idx="1"/>
        </xdr:cNvCxnSpPr>
      </xdr:nvCxnSpPr>
      <xdr:spPr>
        <a:xfrm flipV="1">
          <a:off x="3075892" y="1590061"/>
          <a:ext cx="1083793" cy="1115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320656</xdr:colOff>
      <xdr:row>28</xdr:row>
      <xdr:rowOff>114483</xdr:rowOff>
    </xdr:from>
    <xdr:to>
      <xdr:col>5</xdr:col>
      <xdr:colOff>253367</xdr:colOff>
      <xdr:row>32</xdr:row>
      <xdr:rowOff>45131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4B48A150-5DC1-416E-B5E2-F1BCD32112A0}"/>
            </a:ext>
          </a:extLst>
        </xdr:cNvPr>
        <xdr:cNvSpPr/>
      </xdr:nvSpPr>
      <xdr:spPr>
        <a:xfrm>
          <a:off x="2006581" y="4381683"/>
          <a:ext cx="1056661" cy="5402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Deoiling </a:t>
          </a:r>
          <a:r>
            <a:rPr lang="es-CO" sz="1100"/>
            <a:t>&amp; Sand trap</a:t>
          </a:r>
          <a:endParaRPr lang="en-US" sz="1100"/>
        </a:p>
      </xdr:txBody>
    </xdr:sp>
    <xdr:clientData/>
  </xdr:twoCellAnchor>
  <xdr:twoCellAnchor>
    <xdr:from>
      <xdr:col>4</xdr:col>
      <xdr:colOff>287012</xdr:colOff>
      <xdr:row>12</xdr:row>
      <xdr:rowOff>42538</xdr:rowOff>
    </xdr:from>
    <xdr:to>
      <xdr:col>4</xdr:col>
      <xdr:colOff>299662</xdr:colOff>
      <xdr:row>28</xdr:row>
      <xdr:rowOff>114483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2E4F9823-5428-4BF3-98F5-F9615110A898}"/>
            </a:ext>
          </a:extLst>
        </xdr:cNvPr>
        <xdr:cNvCxnSpPr>
          <a:stCxn id="3" idx="2"/>
          <a:endCxn id="20" idx="0"/>
        </xdr:cNvCxnSpPr>
      </xdr:nvCxnSpPr>
      <xdr:spPr>
        <a:xfrm flipH="1">
          <a:off x="2534912" y="1871338"/>
          <a:ext cx="12650" cy="2510345"/>
        </a:xfrm>
        <a:prstGeom prst="straightConnector1">
          <a:avLst/>
        </a:prstGeom>
        <a:ln w="19050">
          <a:prstDash val="dash"/>
          <a:headEnd type="none" w="med" len="med"/>
          <a:tailEnd type="triangl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138493</xdr:colOff>
      <xdr:row>12</xdr:row>
      <xdr:rowOff>18234</xdr:rowOff>
    </xdr:from>
    <xdr:to>
      <xdr:col>15</xdr:col>
      <xdr:colOff>547569</xdr:colOff>
      <xdr:row>16</xdr:row>
      <xdr:rowOff>22869</xdr:rowOff>
    </xdr:to>
    <xdr:cxnSp macro="">
      <xdr:nvCxnSpPr>
        <xdr:cNvPr id="22" name="Conector: angular 21">
          <a:extLst>
            <a:ext uri="{FF2B5EF4-FFF2-40B4-BE49-F238E27FC236}">
              <a16:creationId xmlns:a16="http://schemas.microsoft.com/office/drawing/2014/main" id="{D1D7EF09-7C3D-4A15-8EEB-26C6E385B125}"/>
            </a:ext>
          </a:extLst>
        </xdr:cNvPr>
        <xdr:cNvCxnSpPr>
          <a:stCxn id="8" idx="2"/>
        </xdr:cNvCxnSpPr>
      </xdr:nvCxnSpPr>
      <xdr:spPr>
        <a:xfrm rot="5400000">
          <a:off x="7027263" y="578014"/>
          <a:ext cx="614235" cy="3152276"/>
        </a:xfrm>
        <a:prstGeom prst="bentConnector2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253368</xdr:colOff>
      <xdr:row>16</xdr:row>
      <xdr:rowOff>12075</xdr:rowOff>
    </xdr:from>
    <xdr:to>
      <xdr:col>10</xdr:col>
      <xdr:colOff>138496</xdr:colOff>
      <xdr:row>30</xdr:row>
      <xdr:rowOff>79807</xdr:rowOff>
    </xdr:to>
    <xdr:cxnSp macro="">
      <xdr:nvCxnSpPr>
        <xdr:cNvPr id="23" name="Conector: angular 22">
          <a:extLst>
            <a:ext uri="{FF2B5EF4-FFF2-40B4-BE49-F238E27FC236}">
              <a16:creationId xmlns:a16="http://schemas.microsoft.com/office/drawing/2014/main" id="{3483E6BC-B178-4BCD-B0FA-059F542B8E04}"/>
            </a:ext>
          </a:extLst>
        </xdr:cNvPr>
        <xdr:cNvCxnSpPr>
          <a:cxnSpLocks/>
          <a:endCxn id="20" idx="3"/>
        </xdr:cNvCxnSpPr>
      </xdr:nvCxnSpPr>
      <xdr:spPr>
        <a:xfrm rot="10800000" flipV="1">
          <a:off x="3063243" y="2450475"/>
          <a:ext cx="2695003" cy="2201332"/>
        </a:xfrm>
        <a:prstGeom prst="bentConnector3">
          <a:avLst>
            <a:gd name="adj1" fmla="val 81447"/>
          </a:avLst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287013</xdr:colOff>
      <xdr:row>32</xdr:row>
      <xdr:rowOff>45130</xdr:rowOff>
    </xdr:from>
    <xdr:to>
      <xdr:col>7</xdr:col>
      <xdr:colOff>221639</xdr:colOff>
      <xdr:row>49</xdr:row>
      <xdr:rowOff>49223</xdr:rowOff>
    </xdr:to>
    <xdr:cxnSp macro="">
      <xdr:nvCxnSpPr>
        <xdr:cNvPr id="24" name="Conector: angular 23">
          <a:extLst>
            <a:ext uri="{FF2B5EF4-FFF2-40B4-BE49-F238E27FC236}">
              <a16:creationId xmlns:a16="http://schemas.microsoft.com/office/drawing/2014/main" id="{65319AF6-36C8-4A5D-A614-0B3B4B38B17A}"/>
            </a:ext>
          </a:extLst>
        </xdr:cNvPr>
        <xdr:cNvCxnSpPr>
          <a:cxnSpLocks/>
          <a:stCxn id="20" idx="2"/>
          <a:endCxn id="67" idx="3"/>
        </xdr:cNvCxnSpPr>
      </xdr:nvCxnSpPr>
      <xdr:spPr>
        <a:xfrm rot="16200000" flipH="1">
          <a:off x="2038217" y="5418626"/>
          <a:ext cx="2613943" cy="1620551"/>
        </a:xfrm>
        <a:prstGeom prst="bentConnector2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68378</xdr:colOff>
      <xdr:row>5</xdr:row>
      <xdr:rowOff>134470</xdr:rowOff>
    </xdr:from>
    <xdr:to>
      <xdr:col>22</xdr:col>
      <xdr:colOff>280147</xdr:colOff>
      <xdr:row>8</xdr:row>
      <xdr:rowOff>105505</xdr:rowOff>
    </xdr:to>
    <xdr:cxnSp macro="">
      <xdr:nvCxnSpPr>
        <xdr:cNvPr id="25" name="Conector: angular 24">
          <a:extLst>
            <a:ext uri="{FF2B5EF4-FFF2-40B4-BE49-F238E27FC236}">
              <a16:creationId xmlns:a16="http://schemas.microsoft.com/office/drawing/2014/main" id="{E8E9B868-CBE1-4ABA-8C79-EF987E2722A7}"/>
            </a:ext>
          </a:extLst>
        </xdr:cNvPr>
        <xdr:cNvCxnSpPr>
          <a:cxnSpLocks/>
        </xdr:cNvCxnSpPr>
      </xdr:nvCxnSpPr>
      <xdr:spPr>
        <a:xfrm rot="10800000" flipV="1">
          <a:off x="2878253" y="896470"/>
          <a:ext cx="9698669" cy="428235"/>
        </a:xfrm>
        <a:prstGeom prst="bentConnector3">
          <a:avLst>
            <a:gd name="adj1" fmla="val 99949"/>
          </a:avLst>
        </a:prstGeom>
        <a:ln w="1905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560544</xdr:colOff>
      <xdr:row>12</xdr:row>
      <xdr:rowOff>151771</xdr:rowOff>
    </xdr:from>
    <xdr:to>
      <xdr:col>31</xdr:col>
      <xdr:colOff>143011</xdr:colOff>
      <xdr:row>15</xdr:row>
      <xdr:rowOff>98683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49">
              <a:extLst>
                <a:ext uri="{FF2B5EF4-FFF2-40B4-BE49-F238E27FC236}">
                  <a16:creationId xmlns:a16="http://schemas.microsoft.com/office/drawing/2014/main" id="{8C4CCE36-1270-470E-96B2-CF4265C26AAA}"/>
                </a:ext>
              </a:extLst>
            </xdr:cNvPr>
            <xdr:cNvSpPr txBox="1"/>
          </xdr:nvSpPr>
          <xdr:spPr>
            <a:xfrm flipH="1">
              <a:off x="16791144" y="1980571"/>
              <a:ext cx="706417" cy="404112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0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00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e>
                      <m:sub>
                        <m:r>
                          <a:rPr lang="es-CO" sz="1000" i="1">
                            <a:latin typeface="Cambria Math" panose="02040503050406030204" pitchFamily="18" charset="0"/>
                          </a:rPr>
                          <m:t>𝑖𝑛</m:t>
                        </m:r>
                      </m:sub>
                    </m:sSub>
                  </m:oMath>
                </m:oMathPara>
              </a14:m>
              <a:endParaRPr lang="en-US" sz="1000"/>
            </a:p>
          </xdr:txBody>
        </xdr:sp>
      </mc:Choice>
      <mc:Fallback xmlns="">
        <xdr:sp macro="" textlink="">
          <xdr:nvSpPr>
            <xdr:cNvPr id="26" name="CuadroTexto 49">
              <a:extLst>
                <a:ext uri="{FF2B5EF4-FFF2-40B4-BE49-F238E27FC236}">
                  <a16:creationId xmlns:a16="http://schemas.microsoft.com/office/drawing/2014/main" id="{8C4CCE36-1270-470E-96B2-CF4265C26AAA}"/>
                </a:ext>
              </a:extLst>
            </xdr:cNvPr>
            <xdr:cNvSpPr txBox="1"/>
          </xdr:nvSpPr>
          <xdr:spPr>
            <a:xfrm flipH="1">
              <a:off x="16791144" y="1980571"/>
              <a:ext cx="706417" cy="404112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000" i="0">
                  <a:latin typeface="Cambria Math" panose="02040503050406030204" pitchFamily="18" charset="0"/>
                </a:rPr>
                <a:t>𝑄</a:t>
              </a:r>
              <a:r>
                <a:rPr lang="en-US" sz="1000" i="0">
                  <a:latin typeface="Cambria Math" panose="02040503050406030204" pitchFamily="18" charset="0"/>
                </a:rPr>
                <a:t> ̇_</a:t>
              </a:r>
              <a:r>
                <a:rPr lang="es-CO" sz="1000" i="0">
                  <a:latin typeface="Cambria Math" panose="02040503050406030204" pitchFamily="18" charset="0"/>
                </a:rPr>
                <a:t>𝑖𝑛</a:t>
              </a:r>
              <a:endParaRPr lang="en-US" sz="1000"/>
            </a:p>
          </xdr:txBody>
        </xdr:sp>
      </mc:Fallback>
    </mc:AlternateContent>
    <xdr:clientData/>
  </xdr:twoCellAnchor>
  <xdr:twoCellAnchor>
    <xdr:from>
      <xdr:col>32</xdr:col>
      <xdr:colOff>300798</xdr:colOff>
      <xdr:row>10</xdr:row>
      <xdr:rowOff>150730</xdr:rowOff>
    </xdr:from>
    <xdr:to>
      <xdr:col>33</xdr:col>
      <xdr:colOff>454765</xdr:colOff>
      <xdr:row>12</xdr:row>
      <xdr:rowOff>91653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50">
              <a:extLst>
                <a:ext uri="{FF2B5EF4-FFF2-40B4-BE49-F238E27FC236}">
                  <a16:creationId xmlns:a16="http://schemas.microsoft.com/office/drawing/2014/main" id="{2E3B4FE7-C2DB-4B63-9585-9A188B57005D}"/>
                </a:ext>
              </a:extLst>
            </xdr:cNvPr>
            <xdr:cNvSpPr txBox="1"/>
          </xdr:nvSpPr>
          <xdr:spPr>
            <a:xfrm flipH="1">
              <a:off x="18217323" y="1674730"/>
              <a:ext cx="715942" cy="24572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00" i="1">
                        <a:latin typeface="Cambria Math" panose="02040503050406030204" pitchFamily="18" charset="0"/>
                      </a:rPr>
                      <m:t>𝐹𝑊</m:t>
                    </m:r>
                    <m:r>
                      <a:rPr lang="es-CO" sz="100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CO" sz="1000" i="1">
                        <a:latin typeface="Cambria Math" panose="02040503050406030204" pitchFamily="18" charset="0"/>
                      </a:rPr>
                      <m:t>𝑃𝑢𝑚𝑝</m:t>
                    </m:r>
                  </m:oMath>
                </m:oMathPara>
              </a14:m>
              <a:endParaRPr lang="en-US" sz="1000"/>
            </a:p>
          </xdr:txBody>
        </xdr:sp>
      </mc:Choice>
      <mc:Fallback xmlns="">
        <xdr:sp macro="" textlink="">
          <xdr:nvSpPr>
            <xdr:cNvPr id="27" name="CuadroTexto 50">
              <a:extLst>
                <a:ext uri="{FF2B5EF4-FFF2-40B4-BE49-F238E27FC236}">
                  <a16:creationId xmlns:a16="http://schemas.microsoft.com/office/drawing/2014/main" id="{2E3B4FE7-C2DB-4B63-9585-9A188B57005D}"/>
                </a:ext>
              </a:extLst>
            </xdr:cNvPr>
            <xdr:cNvSpPr txBox="1"/>
          </xdr:nvSpPr>
          <xdr:spPr>
            <a:xfrm flipH="1">
              <a:off x="18217323" y="1674730"/>
              <a:ext cx="715942" cy="24572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000" i="0">
                  <a:latin typeface="Cambria Math" panose="02040503050406030204" pitchFamily="18" charset="0"/>
                </a:rPr>
                <a:t>𝐹𝑊 𝑃𝑢𝑚𝑝</a:t>
              </a:r>
              <a:endParaRPr lang="en-US" sz="1000"/>
            </a:p>
          </xdr:txBody>
        </xdr:sp>
      </mc:Fallback>
    </mc:AlternateContent>
    <xdr:clientData/>
  </xdr:twoCellAnchor>
  <xdr:twoCellAnchor>
    <xdr:from>
      <xdr:col>21</xdr:col>
      <xdr:colOff>295500</xdr:colOff>
      <xdr:row>32</xdr:row>
      <xdr:rowOff>106264</xdr:rowOff>
    </xdr:from>
    <xdr:to>
      <xdr:col>24</xdr:col>
      <xdr:colOff>183401</xdr:colOff>
      <xdr:row>40</xdr:row>
      <xdr:rowOff>150091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5B9A65C7-C559-4E43-9B1B-D2D062F70E8E}"/>
            </a:ext>
          </a:extLst>
        </xdr:cNvPr>
        <xdr:cNvGrpSpPr/>
      </xdr:nvGrpSpPr>
      <xdr:grpSpPr>
        <a:xfrm>
          <a:off x="11039700" y="5287864"/>
          <a:ext cx="1430951" cy="1263027"/>
          <a:chOff x="8940418" y="3735478"/>
          <a:chExt cx="1608790" cy="1257886"/>
        </a:xfrm>
      </xdr:grpSpPr>
      <xdr:sp macro="" textlink="">
        <xdr:nvSpPr>
          <xdr:cNvPr id="29" name="Rectángulo 28">
            <a:extLst>
              <a:ext uri="{FF2B5EF4-FFF2-40B4-BE49-F238E27FC236}">
                <a16:creationId xmlns:a16="http://schemas.microsoft.com/office/drawing/2014/main" id="{12CA233F-E417-3FBB-4181-A8D504207C09}"/>
              </a:ext>
            </a:extLst>
          </xdr:cNvPr>
          <xdr:cNvSpPr/>
        </xdr:nvSpPr>
        <xdr:spPr>
          <a:xfrm flipH="1">
            <a:off x="10333208" y="3735478"/>
            <a:ext cx="216000" cy="72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200"/>
              <a:t>BPV</a:t>
            </a:r>
          </a:p>
        </xdr:txBody>
      </xdr: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12A77A9C-DC6E-F3FE-2CDC-73498AD493D2}"/>
              </a:ext>
            </a:extLst>
          </xdr:cNvPr>
          <xdr:cNvGrpSpPr/>
        </xdr:nvGrpSpPr>
        <xdr:grpSpPr>
          <a:xfrm flipH="1">
            <a:off x="9465547" y="4262287"/>
            <a:ext cx="858116" cy="403429"/>
            <a:chOff x="10263949" y="4535578"/>
            <a:chExt cx="858116" cy="403429"/>
          </a:xfrm>
        </xdr:grpSpPr>
        <xdr:cxnSp macro="">
          <xdr:nvCxnSpPr>
            <xdr:cNvPr id="33" name="Conector recto de flecha 32">
              <a:extLst>
                <a:ext uri="{FF2B5EF4-FFF2-40B4-BE49-F238E27FC236}">
                  <a16:creationId xmlns:a16="http://schemas.microsoft.com/office/drawing/2014/main" id="{B520C207-7FD1-51AB-D504-6306B2A1A18E}"/>
                </a:ext>
              </a:extLst>
            </xdr:cNvPr>
            <xdr:cNvCxnSpPr>
              <a:cxnSpLocks/>
            </xdr:cNvCxnSpPr>
          </xdr:nvCxnSpPr>
          <xdr:spPr>
            <a:xfrm>
              <a:off x="10263949" y="4599074"/>
              <a:ext cx="282969" cy="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34" name="Grupo 33">
              <a:extLst>
                <a:ext uri="{FF2B5EF4-FFF2-40B4-BE49-F238E27FC236}">
                  <a16:creationId xmlns:a16="http://schemas.microsoft.com/office/drawing/2014/main" id="{E201E898-DC90-9207-C65F-DCBEB89ACA66}"/>
                </a:ext>
              </a:extLst>
            </xdr:cNvPr>
            <xdr:cNvGrpSpPr/>
          </xdr:nvGrpSpPr>
          <xdr:grpSpPr>
            <a:xfrm flipH="1">
              <a:off x="10528235" y="4535578"/>
              <a:ext cx="483891" cy="143735"/>
              <a:chOff x="3263644" y="1931785"/>
              <a:chExt cx="483891" cy="143735"/>
            </a:xfrm>
          </xdr:grpSpPr>
          <xdr:grpSp>
            <xdr:nvGrpSpPr>
              <xdr:cNvPr id="36" name="Grupo 35">
                <a:extLst>
                  <a:ext uri="{FF2B5EF4-FFF2-40B4-BE49-F238E27FC236}">
                    <a16:creationId xmlns:a16="http://schemas.microsoft.com/office/drawing/2014/main" id="{EF5202E8-CE82-05B2-3693-22212A71EA47}"/>
                  </a:ext>
                </a:extLst>
              </xdr:cNvPr>
              <xdr:cNvGrpSpPr/>
            </xdr:nvGrpSpPr>
            <xdr:grpSpPr>
              <a:xfrm>
                <a:off x="3263644" y="1931785"/>
                <a:ext cx="470334" cy="143735"/>
                <a:chOff x="5379244" y="2570206"/>
                <a:chExt cx="470334" cy="150170"/>
              </a:xfrm>
            </xdr:grpSpPr>
            <xdr:cxnSp macro="">
              <xdr:nvCxnSpPr>
                <xdr:cNvPr id="38" name="Conector recto 37">
                  <a:extLst>
                    <a:ext uri="{FF2B5EF4-FFF2-40B4-BE49-F238E27FC236}">
                      <a16:creationId xmlns:a16="http://schemas.microsoft.com/office/drawing/2014/main" id="{C8A57173-450D-3E8A-29B2-40602A2E4226}"/>
                    </a:ext>
                  </a:extLst>
                </xdr:cNvPr>
                <xdr:cNvCxnSpPr/>
              </xdr:nvCxnSpPr>
              <xdr:spPr>
                <a:xfrm>
                  <a:off x="5744803" y="2572828"/>
                  <a:ext cx="0" cy="144000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9" name="Conector recto 38">
                  <a:extLst>
                    <a:ext uri="{FF2B5EF4-FFF2-40B4-BE49-F238E27FC236}">
                      <a16:creationId xmlns:a16="http://schemas.microsoft.com/office/drawing/2014/main" id="{64BE9EB7-5277-35F1-EA6C-5A366A1D7DCF}"/>
                    </a:ext>
                  </a:extLst>
                </xdr:cNvPr>
                <xdr:cNvCxnSpPr/>
              </xdr:nvCxnSpPr>
              <xdr:spPr>
                <a:xfrm>
                  <a:off x="5379244" y="2706225"/>
                  <a:ext cx="0" cy="0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0" name="Conector recto 39">
                  <a:extLst>
                    <a:ext uri="{FF2B5EF4-FFF2-40B4-BE49-F238E27FC236}">
                      <a16:creationId xmlns:a16="http://schemas.microsoft.com/office/drawing/2014/main" id="{4E2ED85D-F04F-B3A4-D20D-2C453260A8F3}"/>
                    </a:ext>
                  </a:extLst>
                </xdr:cNvPr>
                <xdr:cNvCxnSpPr/>
              </xdr:nvCxnSpPr>
              <xdr:spPr>
                <a:xfrm flipV="1">
                  <a:off x="5744804" y="2576375"/>
                  <a:ext cx="52387" cy="144001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1" name="Conector recto 40">
                  <a:extLst>
                    <a:ext uri="{FF2B5EF4-FFF2-40B4-BE49-F238E27FC236}">
                      <a16:creationId xmlns:a16="http://schemas.microsoft.com/office/drawing/2014/main" id="{DD36F473-8CEF-AA6E-8C89-6FAA89F20744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5797192" y="2572828"/>
                  <a:ext cx="0" cy="144000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2" name="Conector recto 41">
                  <a:extLst>
                    <a:ext uri="{FF2B5EF4-FFF2-40B4-BE49-F238E27FC236}">
                      <a16:creationId xmlns:a16="http://schemas.microsoft.com/office/drawing/2014/main" id="{635676C9-A7E5-1495-E84F-169E5D8650D5}"/>
                    </a:ext>
                  </a:extLst>
                </xdr:cNvPr>
                <xdr:cNvCxnSpPr/>
              </xdr:nvCxnSpPr>
              <xdr:spPr>
                <a:xfrm flipV="1">
                  <a:off x="5793774" y="2570206"/>
                  <a:ext cx="52387" cy="144001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3" name="Conector recto 42">
                  <a:extLst>
                    <a:ext uri="{FF2B5EF4-FFF2-40B4-BE49-F238E27FC236}">
                      <a16:creationId xmlns:a16="http://schemas.microsoft.com/office/drawing/2014/main" id="{E20089C2-5590-105F-3FAE-33F6E0ABF7AB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5849578" y="2570213"/>
                  <a:ext cx="0" cy="144000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37" name="Conector recto 36">
                <a:extLst>
                  <a:ext uri="{FF2B5EF4-FFF2-40B4-BE49-F238E27FC236}">
                    <a16:creationId xmlns:a16="http://schemas.microsoft.com/office/drawing/2014/main" id="{DDEA11AF-8ECF-C47D-2E5A-30502850419A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567537" y="2000699"/>
                <a:ext cx="179998" cy="0"/>
              </a:xfrm>
              <a:prstGeom prst="line">
                <a:avLst/>
              </a:prstGeom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5" name="Conector: angular 34">
              <a:extLst>
                <a:ext uri="{FF2B5EF4-FFF2-40B4-BE49-F238E27FC236}">
                  <a16:creationId xmlns:a16="http://schemas.microsoft.com/office/drawing/2014/main" id="{5A5178AE-C194-8D8A-97F9-2B037EE3AA17}"/>
                </a:ext>
              </a:extLst>
            </xdr:cNvPr>
            <xdr:cNvCxnSpPr>
              <a:cxnSpLocks/>
            </xdr:cNvCxnSpPr>
          </xdr:nvCxnSpPr>
          <xdr:spPr>
            <a:xfrm rot="10800000" flipH="1" flipV="1">
              <a:off x="10535012" y="4597948"/>
              <a:ext cx="587053" cy="341059"/>
            </a:xfrm>
            <a:prstGeom prst="bentConnector3">
              <a:avLst>
                <a:gd name="adj1" fmla="val 533"/>
              </a:avLst>
            </a:prstGeom>
            <a:ln>
              <a:headEnd type="triangle"/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1" name="CuadroTexto 94">
                <a:extLst>
                  <a:ext uri="{FF2B5EF4-FFF2-40B4-BE49-F238E27FC236}">
                    <a16:creationId xmlns:a16="http://schemas.microsoft.com/office/drawing/2014/main" id="{9B8893D4-2352-E050-F754-2A9EB0200A7B}"/>
                  </a:ext>
                </a:extLst>
              </xdr:cNvPr>
              <xdr:cNvSpPr txBox="1"/>
            </xdr:nvSpPr>
            <xdr:spPr>
              <a:xfrm flipH="1">
                <a:off x="9399650" y="4741307"/>
                <a:ext cx="728359" cy="252057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0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0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00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e>
                          </m:acc>
                        </m:e>
                        <m:sub>
                          <m:r>
                            <a:rPr lang="es-CO" sz="1000" i="1">
                              <a:latin typeface="Cambria Math" panose="02040503050406030204" pitchFamily="18" charset="0"/>
                            </a:rPr>
                            <m:t>𝑣𝑒𝑛𝑡</m:t>
                          </m:r>
                        </m:sub>
                      </m:sSub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31" name="CuadroTexto 94">
                <a:extLst>
                  <a:ext uri="{FF2B5EF4-FFF2-40B4-BE49-F238E27FC236}">
                    <a16:creationId xmlns:a16="http://schemas.microsoft.com/office/drawing/2014/main" id="{9B8893D4-2352-E050-F754-2A9EB0200A7B}"/>
                  </a:ext>
                </a:extLst>
              </xdr:cNvPr>
              <xdr:cNvSpPr txBox="1"/>
            </xdr:nvSpPr>
            <xdr:spPr>
              <a:xfrm flipH="1">
                <a:off x="9399650" y="4741307"/>
                <a:ext cx="728359" cy="252057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𝑄</a:t>
                </a:r>
                <a:r>
                  <a:rPr lang="en-US" sz="1000" i="0">
                    <a:latin typeface="Cambria Math" panose="02040503050406030204" pitchFamily="18" charset="0"/>
                  </a:rPr>
                  <a:t> ̇_</a:t>
                </a:r>
                <a:r>
                  <a:rPr lang="es-CO" sz="1000" i="0">
                    <a:latin typeface="Cambria Math" panose="02040503050406030204" pitchFamily="18" charset="0"/>
                  </a:rPr>
                  <a:t>𝑣𝑒𝑛𝑡</a:t>
                </a:r>
                <a:endParaRPr lang="en-US" sz="10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2" name="CuadroTexto 95">
                <a:extLst>
                  <a:ext uri="{FF2B5EF4-FFF2-40B4-BE49-F238E27FC236}">
                    <a16:creationId xmlns:a16="http://schemas.microsoft.com/office/drawing/2014/main" id="{AEECED3A-5A5A-F15E-B2AB-CC0AB5D3618B}"/>
                  </a:ext>
                </a:extLst>
              </xdr:cNvPr>
              <xdr:cNvSpPr txBox="1"/>
            </xdr:nvSpPr>
            <xdr:spPr>
              <a:xfrm flipH="1">
                <a:off x="8940418" y="4298883"/>
                <a:ext cx="728359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000" i="1">
                          <a:latin typeface="Cambria Math" panose="02040503050406030204" pitchFamily="18" charset="0"/>
                        </a:rPr>
                        <m:t>𝑆𝑡𝑒𝑎𝑚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𝑣𝑒𝑛𝑡</m:t>
                      </m:r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32" name="CuadroTexto 95">
                <a:extLst>
                  <a:ext uri="{FF2B5EF4-FFF2-40B4-BE49-F238E27FC236}">
                    <a16:creationId xmlns:a16="http://schemas.microsoft.com/office/drawing/2014/main" id="{AEECED3A-5A5A-F15E-B2AB-CC0AB5D3618B}"/>
                  </a:ext>
                </a:extLst>
              </xdr:cNvPr>
              <xdr:cNvSpPr txBox="1"/>
            </xdr:nvSpPr>
            <xdr:spPr>
              <a:xfrm flipH="1">
                <a:off x="8940418" y="4298883"/>
                <a:ext cx="728359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𝑆𝑡𝑒𝑎𝑚 𝑣𝑒𝑛𝑡</a:t>
                </a:r>
                <a:endParaRPr lang="en-US" sz="1000"/>
              </a:p>
            </xdr:txBody>
          </xdr:sp>
        </mc:Fallback>
      </mc:AlternateContent>
    </xdr:grpSp>
    <xdr:clientData/>
  </xdr:twoCellAnchor>
  <xdr:twoCellAnchor>
    <xdr:from>
      <xdr:col>31</xdr:col>
      <xdr:colOff>224664</xdr:colOff>
      <xdr:row>27</xdr:row>
      <xdr:rowOff>96153</xdr:rowOff>
    </xdr:from>
    <xdr:to>
      <xdr:col>32</xdr:col>
      <xdr:colOff>262734</xdr:colOff>
      <xdr:row>32</xdr:row>
      <xdr:rowOff>55638</xdr:rowOff>
    </xdr:to>
    <xdr:sp macro="" textlink="">
      <xdr:nvSpPr>
        <xdr:cNvPr id="44" name="Trapecio 43">
          <a:extLst>
            <a:ext uri="{FF2B5EF4-FFF2-40B4-BE49-F238E27FC236}">
              <a16:creationId xmlns:a16="http://schemas.microsoft.com/office/drawing/2014/main" id="{F56EC203-AFD1-41BF-9A9E-5EEF3D326B59}"/>
            </a:ext>
          </a:extLst>
        </xdr:cNvPr>
        <xdr:cNvSpPr/>
      </xdr:nvSpPr>
      <xdr:spPr>
        <a:xfrm rot="16200000">
          <a:off x="17518494" y="4271673"/>
          <a:ext cx="721485" cy="600045"/>
        </a:xfrm>
        <a:prstGeom prst="trapezoid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="vert"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100" b="1"/>
            <a:t>ECST</a:t>
          </a:r>
        </a:p>
      </xdr:txBody>
    </xdr:sp>
    <xdr:clientData/>
  </xdr:twoCellAnchor>
  <xdr:twoCellAnchor>
    <xdr:from>
      <xdr:col>33</xdr:col>
      <xdr:colOff>232177</xdr:colOff>
      <xdr:row>28</xdr:row>
      <xdr:rowOff>86759</xdr:rowOff>
    </xdr:from>
    <xdr:to>
      <xdr:col>34</xdr:col>
      <xdr:colOff>90961</xdr:colOff>
      <xdr:row>31</xdr:row>
      <xdr:rowOff>62450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49754F5F-C7DD-40DE-B7F4-00780F1FDE90}"/>
            </a:ext>
          </a:extLst>
        </xdr:cNvPr>
        <xdr:cNvSpPr/>
      </xdr:nvSpPr>
      <xdr:spPr>
        <a:xfrm>
          <a:off x="18710677" y="4353959"/>
          <a:ext cx="420759" cy="43289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100"/>
            <a:t>G</a:t>
          </a:r>
        </a:p>
      </xdr:txBody>
    </xdr:sp>
    <xdr:clientData/>
  </xdr:twoCellAnchor>
  <xdr:twoCellAnchor>
    <xdr:from>
      <xdr:col>32</xdr:col>
      <xdr:colOff>262734</xdr:colOff>
      <xdr:row>29</xdr:row>
      <xdr:rowOff>153827</xdr:rowOff>
    </xdr:from>
    <xdr:to>
      <xdr:col>32</xdr:col>
      <xdr:colOff>262734</xdr:colOff>
      <xdr:row>29</xdr:row>
      <xdr:rowOff>153827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F1F67CD8-4A9B-4361-A428-8E213838FDC3}"/>
            </a:ext>
          </a:extLst>
        </xdr:cNvPr>
        <xdr:cNvCxnSpPr>
          <a:stCxn id="44" idx="2"/>
          <a:endCxn id="44" idx="2"/>
        </xdr:cNvCxnSpPr>
      </xdr:nvCxnSpPr>
      <xdr:spPr>
        <a:xfrm>
          <a:off x="18179259" y="4573427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262734</xdr:colOff>
      <xdr:row>29</xdr:row>
      <xdr:rowOff>152536</xdr:rowOff>
    </xdr:from>
    <xdr:to>
      <xdr:col>33</xdr:col>
      <xdr:colOff>232177</xdr:colOff>
      <xdr:row>29</xdr:row>
      <xdr:rowOff>153828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AC584DA3-43D6-45E1-A912-36CA127582D1}"/>
            </a:ext>
          </a:extLst>
        </xdr:cNvPr>
        <xdr:cNvCxnSpPr>
          <a:stCxn id="44" idx="2"/>
          <a:endCxn id="45" idx="2"/>
        </xdr:cNvCxnSpPr>
      </xdr:nvCxnSpPr>
      <xdr:spPr>
        <a:xfrm flipV="1">
          <a:off x="18179259" y="4572136"/>
          <a:ext cx="531418" cy="1292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533206</xdr:colOff>
      <xdr:row>29</xdr:row>
      <xdr:rowOff>78655</xdr:rowOff>
    </xdr:from>
    <xdr:to>
      <xdr:col>32</xdr:col>
      <xdr:colOff>561668</xdr:colOff>
      <xdr:row>30</xdr:row>
      <xdr:rowOff>70552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6FB3D38E-DE98-47CF-80FF-666D5F46935E}"/>
            </a:ext>
          </a:extLst>
        </xdr:cNvPr>
        <xdr:cNvGrpSpPr/>
      </xdr:nvGrpSpPr>
      <xdr:grpSpPr>
        <a:xfrm>
          <a:off x="16920016" y="4803055"/>
          <a:ext cx="0" cy="144297"/>
          <a:chOff x="5663565" y="696057"/>
          <a:chExt cx="28575" cy="144000"/>
        </a:xfrm>
      </xdr:grpSpPr>
      <xdr:cxnSp macro="">
        <xdr:nvCxnSpPr>
          <xdr:cNvPr id="49" name="Conector recto 48">
            <a:extLst>
              <a:ext uri="{FF2B5EF4-FFF2-40B4-BE49-F238E27FC236}">
                <a16:creationId xmlns:a16="http://schemas.microsoft.com/office/drawing/2014/main" id="{30F84845-B014-B58B-56C4-7FDC1413BC81}"/>
              </a:ext>
            </a:extLst>
          </xdr:cNvPr>
          <xdr:cNvCxnSpPr/>
        </xdr:nvCxnSpPr>
        <xdr:spPr>
          <a:xfrm>
            <a:off x="5663565" y="696057"/>
            <a:ext cx="0" cy="14400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Conector recto 49">
            <a:extLst>
              <a:ext uri="{FF2B5EF4-FFF2-40B4-BE49-F238E27FC236}">
                <a16:creationId xmlns:a16="http://schemas.microsoft.com/office/drawing/2014/main" id="{9404A089-1912-996E-1F8C-3B9B1CCA9841}"/>
              </a:ext>
            </a:extLst>
          </xdr:cNvPr>
          <xdr:cNvCxnSpPr/>
        </xdr:nvCxnSpPr>
        <xdr:spPr>
          <a:xfrm>
            <a:off x="5692140" y="696057"/>
            <a:ext cx="0" cy="14400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34</xdr:col>
      <xdr:colOff>90961</xdr:colOff>
      <xdr:row>29</xdr:row>
      <xdr:rowOff>152536</xdr:rowOff>
    </xdr:from>
    <xdr:to>
      <xdr:col>36</xdr:col>
      <xdr:colOff>316986</xdr:colOff>
      <xdr:row>29</xdr:row>
      <xdr:rowOff>152536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659E0ED8-83B9-41E7-B9B0-98FFE0B6D06C}"/>
            </a:ext>
          </a:extLst>
        </xdr:cNvPr>
        <xdr:cNvCxnSpPr>
          <a:cxnSpLocks/>
          <a:stCxn id="45" idx="6"/>
        </xdr:cNvCxnSpPr>
      </xdr:nvCxnSpPr>
      <xdr:spPr>
        <a:xfrm>
          <a:off x="19131436" y="4572136"/>
          <a:ext cx="1349975" cy="0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70884</xdr:colOff>
      <xdr:row>26</xdr:row>
      <xdr:rowOff>22606</xdr:rowOff>
    </xdr:from>
    <xdr:to>
      <xdr:col>35</xdr:col>
      <xdr:colOff>70884</xdr:colOff>
      <xdr:row>29</xdr:row>
      <xdr:rowOff>152536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611E8C62-16AA-4A7B-B45E-A88A1B90BA30}"/>
            </a:ext>
          </a:extLst>
        </xdr:cNvPr>
        <xdr:cNvCxnSpPr/>
      </xdr:nvCxnSpPr>
      <xdr:spPr>
        <a:xfrm flipV="1">
          <a:off x="19673334" y="3985006"/>
          <a:ext cx="0" cy="587130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255386</xdr:colOff>
      <xdr:row>24</xdr:row>
      <xdr:rowOff>24942</xdr:rowOff>
    </xdr:from>
    <xdr:to>
      <xdr:col>35</xdr:col>
      <xdr:colOff>409353</xdr:colOff>
      <xdr:row>25</xdr:row>
      <xdr:rowOff>142983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CuadroTexto 62">
              <a:extLst>
                <a:ext uri="{FF2B5EF4-FFF2-40B4-BE49-F238E27FC236}">
                  <a16:creationId xmlns:a16="http://schemas.microsoft.com/office/drawing/2014/main" id="{E3FD68CB-8493-4816-A1CC-992ECABCE6B4}"/>
                </a:ext>
              </a:extLst>
            </xdr:cNvPr>
            <xdr:cNvSpPr txBox="1"/>
          </xdr:nvSpPr>
          <xdr:spPr>
            <a:xfrm>
              <a:off x="19295861" y="3682542"/>
              <a:ext cx="715942" cy="270441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</m:acc>
                      </m:e>
                      <m:sub>
                        <m:r>
                          <a:rPr lang="es-CO" sz="1100" i="1">
                            <a:latin typeface="Cambria Math" panose="02040503050406030204" pitchFamily="18" charset="0"/>
                          </a:rPr>
                          <m:t>𝑎𝑢𝑥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" name="CuadroTexto 62">
              <a:extLst>
                <a:ext uri="{FF2B5EF4-FFF2-40B4-BE49-F238E27FC236}">
                  <a16:creationId xmlns:a16="http://schemas.microsoft.com/office/drawing/2014/main" id="{E3FD68CB-8493-4816-A1CC-992ECABCE6B4}"/>
                </a:ext>
              </a:extLst>
            </xdr:cNvPr>
            <xdr:cNvSpPr txBox="1"/>
          </xdr:nvSpPr>
          <xdr:spPr>
            <a:xfrm>
              <a:off x="19295861" y="3682542"/>
              <a:ext cx="715942" cy="270441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100" i="0">
                  <a:latin typeface="Cambria Math" panose="02040503050406030204" pitchFamily="18" charset="0"/>
                </a:rPr>
                <a:t>𝑊</a:t>
              </a:r>
              <a:r>
                <a:rPr lang="en-US" sz="1100" i="0">
                  <a:latin typeface="Cambria Math" panose="02040503050406030204" pitchFamily="18" charset="0"/>
                </a:rPr>
                <a:t> ̇_</a:t>
              </a:r>
              <a:r>
                <a:rPr lang="es-CO" sz="1100" i="0">
                  <a:latin typeface="Cambria Math" panose="02040503050406030204" pitchFamily="18" charset="0"/>
                </a:rPr>
                <a:t>𝑎𝑢𝑥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30</xdr:col>
      <xdr:colOff>259568</xdr:colOff>
      <xdr:row>17</xdr:row>
      <xdr:rowOff>31838</xdr:rowOff>
    </xdr:from>
    <xdr:to>
      <xdr:col>32</xdr:col>
      <xdr:colOff>371564</xdr:colOff>
      <xdr:row>23</xdr:row>
      <xdr:rowOff>20160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CBFE3464-B939-4DB2-80C5-85D1AD0B4951}"/>
            </a:ext>
          </a:extLst>
        </xdr:cNvPr>
        <xdr:cNvSpPr/>
      </xdr:nvSpPr>
      <xdr:spPr>
        <a:xfrm flipH="1">
          <a:off x="17052143" y="2622638"/>
          <a:ext cx="1235946" cy="90272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Steam</a:t>
          </a:r>
          <a:r>
            <a:rPr lang="es-CO" sz="1100"/>
            <a:t> Boiler</a:t>
          </a:r>
        </a:p>
      </xdr:txBody>
    </xdr:sp>
    <xdr:clientData/>
  </xdr:twoCellAnchor>
  <xdr:twoCellAnchor>
    <xdr:from>
      <xdr:col>31</xdr:col>
      <xdr:colOff>535632</xdr:colOff>
      <xdr:row>10</xdr:row>
      <xdr:rowOff>77743</xdr:rowOff>
    </xdr:from>
    <xdr:to>
      <xdr:col>32</xdr:col>
      <xdr:colOff>250988</xdr:colOff>
      <xdr:row>12</xdr:row>
      <xdr:rowOff>61536</xdr:rowOff>
    </xdr:to>
    <xdr:grpSp>
      <xdr:nvGrpSpPr>
        <xdr:cNvPr id="55" name="Grupo 54">
          <a:extLst>
            <a:ext uri="{FF2B5EF4-FFF2-40B4-BE49-F238E27FC236}">
              <a16:creationId xmlns:a16="http://schemas.microsoft.com/office/drawing/2014/main" id="{58BBDBFF-E743-4331-A2DA-6FFA685EE944}"/>
            </a:ext>
          </a:extLst>
        </xdr:cNvPr>
        <xdr:cNvGrpSpPr/>
      </xdr:nvGrpSpPr>
      <xdr:grpSpPr>
        <a:xfrm rot="10800000" flipH="1">
          <a:off x="16408092" y="1906543"/>
          <a:ext cx="244946" cy="288593"/>
          <a:chOff x="647700" y="2004072"/>
          <a:chExt cx="288000" cy="288000"/>
        </a:xfrm>
      </xdr:grpSpPr>
      <xdr:sp macro="" textlink="">
        <xdr:nvSpPr>
          <xdr:cNvPr id="56" name="Elipse 55">
            <a:extLst>
              <a:ext uri="{FF2B5EF4-FFF2-40B4-BE49-F238E27FC236}">
                <a16:creationId xmlns:a16="http://schemas.microsoft.com/office/drawing/2014/main" id="{5F713F78-4308-6650-5D7B-13A92BA0499E}"/>
              </a:ext>
            </a:extLst>
          </xdr:cNvPr>
          <xdr:cNvSpPr/>
        </xdr:nvSpPr>
        <xdr:spPr>
          <a:xfrm>
            <a:off x="647700" y="2004072"/>
            <a:ext cx="288000" cy="28800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2657"/>
          </a:p>
        </xdr:txBody>
      </xdr:sp>
      <xdr:sp macro="" textlink="">
        <xdr:nvSpPr>
          <xdr:cNvPr id="57" name="Triángulo isósceles 56">
            <a:extLst>
              <a:ext uri="{FF2B5EF4-FFF2-40B4-BE49-F238E27FC236}">
                <a16:creationId xmlns:a16="http://schemas.microsoft.com/office/drawing/2014/main" id="{1A83A665-276E-6764-D847-413A6E266A6C}"/>
              </a:ext>
            </a:extLst>
          </xdr:cNvPr>
          <xdr:cNvSpPr/>
        </xdr:nvSpPr>
        <xdr:spPr>
          <a:xfrm>
            <a:off x="697706" y="2022399"/>
            <a:ext cx="190499" cy="218357"/>
          </a:xfrm>
          <a:prstGeom prst="triangl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2657"/>
          </a:p>
        </xdr:txBody>
      </xdr:sp>
    </xdr:grpSp>
    <xdr:clientData/>
  </xdr:twoCellAnchor>
  <xdr:twoCellAnchor>
    <xdr:from>
      <xdr:col>32</xdr:col>
      <xdr:colOff>107560</xdr:colOff>
      <xdr:row>12</xdr:row>
      <xdr:rowOff>66776</xdr:rowOff>
    </xdr:from>
    <xdr:to>
      <xdr:col>32</xdr:col>
      <xdr:colOff>107560</xdr:colOff>
      <xdr:row>17</xdr:row>
      <xdr:rowOff>21362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00204E44-5C31-45DC-98FC-E01DF87F1686}"/>
            </a:ext>
          </a:extLst>
        </xdr:cNvPr>
        <xdr:cNvCxnSpPr>
          <a:cxnSpLocks/>
        </xdr:cNvCxnSpPr>
      </xdr:nvCxnSpPr>
      <xdr:spPr>
        <a:xfrm>
          <a:off x="18024085" y="1895576"/>
          <a:ext cx="0" cy="716586"/>
        </a:xfrm>
        <a:prstGeom prst="straightConnector1">
          <a:avLst/>
        </a:prstGeom>
        <a:ln w="190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3523</xdr:colOff>
      <xdr:row>12</xdr:row>
      <xdr:rowOff>123403</xdr:rowOff>
    </xdr:from>
    <xdr:to>
      <xdr:col>31</xdr:col>
      <xdr:colOff>3523</xdr:colOff>
      <xdr:row>17</xdr:row>
      <xdr:rowOff>26131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A96C6B9F-80D6-48C5-A417-01A9EC553697}"/>
            </a:ext>
          </a:extLst>
        </xdr:cNvPr>
        <xdr:cNvCxnSpPr>
          <a:cxnSpLocks/>
        </xdr:cNvCxnSpPr>
      </xdr:nvCxnSpPr>
      <xdr:spPr>
        <a:xfrm>
          <a:off x="17358073" y="1952203"/>
          <a:ext cx="0" cy="664728"/>
        </a:xfrm>
        <a:prstGeom prst="straightConnector1">
          <a:avLst/>
        </a:prstGeom>
        <a:ln w="190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505688</xdr:colOff>
      <xdr:row>11</xdr:row>
      <xdr:rowOff>86564</xdr:rowOff>
    </xdr:from>
    <xdr:to>
      <xdr:col>31</xdr:col>
      <xdr:colOff>197864</xdr:colOff>
      <xdr:row>12</xdr:row>
      <xdr:rowOff>151770</xdr:rowOff>
    </xdr:to>
    <xdr:sp macro="" textlink="">
      <xdr:nvSpPr>
        <xdr:cNvPr id="60" name="CuadroTexto 48">
          <a:extLst>
            <a:ext uri="{FF2B5EF4-FFF2-40B4-BE49-F238E27FC236}">
              <a16:creationId xmlns:a16="http://schemas.microsoft.com/office/drawing/2014/main" id="{3A4BED04-409B-491B-A629-0B55E99B649A}"/>
            </a:ext>
          </a:extLst>
        </xdr:cNvPr>
        <xdr:cNvSpPr txBox="1"/>
      </xdr:nvSpPr>
      <xdr:spPr>
        <a:xfrm flipH="1">
          <a:off x="16736288" y="1762964"/>
          <a:ext cx="816126" cy="21760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>
              <a:latin typeface="Cambria Math" panose="02040503050406030204" pitchFamily="18" charset="0"/>
              <a:ea typeface="Cambria Math" panose="02040503050406030204" pitchFamily="18" charset="0"/>
            </a:rPr>
            <a:t>Biomass fuel</a:t>
          </a:r>
        </a:p>
      </xdr:txBody>
    </xdr:sp>
    <xdr:clientData/>
  </xdr:twoCellAnchor>
  <xdr:twoCellAnchor>
    <xdr:from>
      <xdr:col>31</xdr:col>
      <xdr:colOff>315566</xdr:colOff>
      <xdr:row>23</xdr:row>
      <xdr:rowOff>20159</xdr:rowOff>
    </xdr:from>
    <xdr:to>
      <xdr:col>31</xdr:col>
      <xdr:colOff>315567</xdr:colOff>
      <xdr:row>28</xdr:row>
      <xdr:rowOff>86759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D4A3ADD1-061E-49E8-A339-AFED5241F346}"/>
            </a:ext>
          </a:extLst>
        </xdr:cNvPr>
        <xdr:cNvCxnSpPr>
          <a:cxnSpLocks/>
          <a:stCxn id="54" idx="2"/>
        </xdr:cNvCxnSpPr>
      </xdr:nvCxnSpPr>
      <xdr:spPr>
        <a:xfrm flipH="1">
          <a:off x="17670116" y="3525359"/>
          <a:ext cx="1" cy="828600"/>
        </a:xfrm>
        <a:prstGeom prst="straightConnector1">
          <a:avLst/>
        </a:prstGeom>
        <a:ln w="190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183402</xdr:colOff>
      <xdr:row>31</xdr:row>
      <xdr:rowOff>136324</xdr:rowOff>
    </xdr:from>
    <xdr:to>
      <xdr:col>31</xdr:col>
      <xdr:colOff>529450</xdr:colOff>
      <xdr:row>35</xdr:row>
      <xdr:rowOff>7350</xdr:rowOff>
    </xdr:to>
    <xdr:cxnSp macro="">
      <xdr:nvCxnSpPr>
        <xdr:cNvPr id="62" name="Conector: angular 61">
          <a:extLst>
            <a:ext uri="{FF2B5EF4-FFF2-40B4-BE49-F238E27FC236}">
              <a16:creationId xmlns:a16="http://schemas.microsoft.com/office/drawing/2014/main" id="{E085FC09-9697-4D07-8DFD-7AAED53DF131}"/>
            </a:ext>
          </a:extLst>
        </xdr:cNvPr>
        <xdr:cNvCxnSpPr>
          <a:stCxn id="44" idx="1"/>
          <a:endCxn id="29" idx="1"/>
        </xdr:cNvCxnSpPr>
      </xdr:nvCxnSpPr>
      <xdr:spPr>
        <a:xfrm rot="5400000">
          <a:off x="15503751" y="2961100"/>
          <a:ext cx="480626" cy="4279873"/>
        </a:xfrm>
        <a:prstGeom prst="bentConnector2">
          <a:avLst/>
        </a:prstGeom>
        <a:ln w="1905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440676</xdr:colOff>
      <xdr:row>22</xdr:row>
      <xdr:rowOff>29742</xdr:rowOff>
    </xdr:from>
    <xdr:to>
      <xdr:col>22</xdr:col>
      <xdr:colOff>23143</xdr:colOff>
      <xdr:row>23</xdr:row>
      <xdr:rowOff>147782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CuadroTexto 321">
              <a:extLst>
                <a:ext uri="{FF2B5EF4-FFF2-40B4-BE49-F238E27FC236}">
                  <a16:creationId xmlns:a16="http://schemas.microsoft.com/office/drawing/2014/main" id="{FF42EF2E-BD1A-4098-872F-F9B893A9755A}"/>
                </a:ext>
              </a:extLst>
            </xdr:cNvPr>
            <xdr:cNvSpPr txBox="1"/>
          </xdr:nvSpPr>
          <xdr:spPr>
            <a:xfrm>
              <a:off x="11613501" y="3382542"/>
              <a:ext cx="706417" cy="27044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</m:acc>
                      </m:e>
                      <m:sub>
                        <m:r>
                          <a:rPr lang="es-CO" sz="1100" i="1">
                            <a:latin typeface="Cambria Math" panose="02040503050406030204" pitchFamily="18" charset="0"/>
                          </a:rPr>
                          <m:t>𝑃𝑏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" name="CuadroTexto 321">
              <a:extLst>
                <a:ext uri="{FF2B5EF4-FFF2-40B4-BE49-F238E27FC236}">
                  <a16:creationId xmlns:a16="http://schemas.microsoft.com/office/drawing/2014/main" id="{FF42EF2E-BD1A-4098-872F-F9B893A9755A}"/>
                </a:ext>
              </a:extLst>
            </xdr:cNvPr>
            <xdr:cNvSpPr txBox="1"/>
          </xdr:nvSpPr>
          <xdr:spPr>
            <a:xfrm>
              <a:off x="11613501" y="3382542"/>
              <a:ext cx="706417" cy="27044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100" i="0">
                  <a:latin typeface="Cambria Math" panose="02040503050406030204" pitchFamily="18" charset="0"/>
                </a:rPr>
                <a:t>𝑊</a:t>
              </a:r>
              <a:r>
                <a:rPr lang="en-US" sz="1100" i="0">
                  <a:latin typeface="Cambria Math" panose="02040503050406030204" pitchFamily="18" charset="0"/>
                </a:rPr>
                <a:t> ̇_</a:t>
              </a:r>
              <a:r>
                <a:rPr lang="es-CO" sz="1100" i="0">
                  <a:latin typeface="Cambria Math" panose="02040503050406030204" pitchFamily="18" charset="0"/>
                </a:rPr>
                <a:t>𝑃𝑏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34</xdr:col>
      <xdr:colOff>12316</xdr:colOff>
      <xdr:row>30</xdr:row>
      <xdr:rowOff>117229</xdr:rowOff>
    </xdr:from>
    <xdr:to>
      <xdr:col>35</xdr:col>
      <xdr:colOff>166283</xdr:colOff>
      <xdr:row>32</xdr:row>
      <xdr:rowOff>97498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CuadroTexto 326">
              <a:extLst>
                <a:ext uri="{FF2B5EF4-FFF2-40B4-BE49-F238E27FC236}">
                  <a16:creationId xmlns:a16="http://schemas.microsoft.com/office/drawing/2014/main" id="{630D0663-9581-4C30-B831-B8B054267507}"/>
                </a:ext>
              </a:extLst>
            </xdr:cNvPr>
            <xdr:cNvSpPr txBox="1"/>
          </xdr:nvSpPr>
          <xdr:spPr>
            <a:xfrm>
              <a:off x="19052791" y="4689229"/>
              <a:ext cx="715942" cy="285069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</m:acc>
                      </m:e>
                      <m:sub>
                        <m:r>
                          <a:rPr lang="es-CO" sz="1100" i="1">
                            <a:latin typeface="Cambria Math" panose="02040503050406030204" pitchFamily="18" charset="0"/>
                          </a:rPr>
                          <m:t>𝑔𝑒𝑛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" name="CuadroTexto 326">
              <a:extLst>
                <a:ext uri="{FF2B5EF4-FFF2-40B4-BE49-F238E27FC236}">
                  <a16:creationId xmlns:a16="http://schemas.microsoft.com/office/drawing/2014/main" id="{630D0663-9581-4C30-B831-B8B054267507}"/>
                </a:ext>
              </a:extLst>
            </xdr:cNvPr>
            <xdr:cNvSpPr txBox="1"/>
          </xdr:nvSpPr>
          <xdr:spPr>
            <a:xfrm>
              <a:off x="19052791" y="4689229"/>
              <a:ext cx="715942" cy="285069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100" i="0">
                  <a:latin typeface="Cambria Math" panose="02040503050406030204" pitchFamily="18" charset="0"/>
                </a:rPr>
                <a:t>𝑊</a:t>
              </a:r>
              <a:r>
                <a:rPr lang="en-US" sz="1100" i="0">
                  <a:latin typeface="Cambria Math" panose="02040503050406030204" pitchFamily="18" charset="0"/>
                </a:rPr>
                <a:t> ̇_</a:t>
              </a:r>
              <a:r>
                <a:rPr lang="es-CO" sz="1100" i="0">
                  <a:latin typeface="Cambria Math" panose="02040503050406030204" pitchFamily="18" charset="0"/>
                </a:rPr>
                <a:t>𝑔𝑒𝑛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35</xdr:col>
      <xdr:colOff>195548</xdr:colOff>
      <xdr:row>27</xdr:row>
      <xdr:rowOff>142272</xdr:rowOff>
    </xdr:from>
    <xdr:to>
      <xdr:col>36</xdr:col>
      <xdr:colOff>349515</xdr:colOff>
      <xdr:row>29</xdr:row>
      <xdr:rowOff>104449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CuadroTexto 327">
              <a:extLst>
                <a:ext uri="{FF2B5EF4-FFF2-40B4-BE49-F238E27FC236}">
                  <a16:creationId xmlns:a16="http://schemas.microsoft.com/office/drawing/2014/main" id="{3A21CA6D-07D7-4E7A-A851-92B46B730657}"/>
                </a:ext>
              </a:extLst>
            </xdr:cNvPr>
            <xdr:cNvSpPr txBox="1"/>
          </xdr:nvSpPr>
          <xdr:spPr>
            <a:xfrm>
              <a:off x="19797998" y="4257072"/>
              <a:ext cx="715942" cy="266977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</m:acc>
                      </m:e>
                      <m:sub>
                        <m:r>
                          <a:rPr lang="es-CO" sz="1100" i="1">
                            <a:latin typeface="Cambria Math" panose="02040503050406030204" pitchFamily="18" charset="0"/>
                          </a:rPr>
                          <m:t>𝑛𝑒𝑡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" name="CuadroTexto 327">
              <a:extLst>
                <a:ext uri="{FF2B5EF4-FFF2-40B4-BE49-F238E27FC236}">
                  <a16:creationId xmlns:a16="http://schemas.microsoft.com/office/drawing/2014/main" id="{3A21CA6D-07D7-4E7A-A851-92B46B730657}"/>
                </a:ext>
              </a:extLst>
            </xdr:cNvPr>
            <xdr:cNvSpPr txBox="1"/>
          </xdr:nvSpPr>
          <xdr:spPr>
            <a:xfrm>
              <a:off x="19797998" y="4257072"/>
              <a:ext cx="715942" cy="266977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100" i="0">
                  <a:latin typeface="Cambria Math" panose="02040503050406030204" pitchFamily="18" charset="0"/>
                </a:rPr>
                <a:t>𝑊</a:t>
              </a:r>
              <a:r>
                <a:rPr lang="en-US" sz="1100" i="0">
                  <a:latin typeface="Cambria Math" panose="02040503050406030204" pitchFamily="18" charset="0"/>
                </a:rPr>
                <a:t> ̇_</a:t>
              </a:r>
              <a:r>
                <a:rPr lang="es-CO" sz="1100" i="0">
                  <a:latin typeface="Cambria Math" panose="02040503050406030204" pitchFamily="18" charset="0"/>
                </a:rPr>
                <a:t>𝑛𝑒𝑡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5</xdr:col>
      <xdr:colOff>320623</xdr:colOff>
      <xdr:row>43</xdr:row>
      <xdr:rowOff>77043</xdr:rowOff>
    </xdr:from>
    <xdr:to>
      <xdr:col>37</xdr:col>
      <xdr:colOff>43187</xdr:colOff>
      <xdr:row>64</xdr:row>
      <xdr:rowOff>28018</xdr:rowOff>
    </xdr:to>
    <xdr:grpSp>
      <xdr:nvGrpSpPr>
        <xdr:cNvPr id="66" name="Grupo 65">
          <a:extLst>
            <a:ext uri="{FF2B5EF4-FFF2-40B4-BE49-F238E27FC236}">
              <a16:creationId xmlns:a16="http://schemas.microsoft.com/office/drawing/2014/main" id="{3A3D8BFA-1D21-4536-89EA-AAC5CA4E544C}"/>
            </a:ext>
          </a:extLst>
        </xdr:cNvPr>
        <xdr:cNvGrpSpPr/>
      </xdr:nvGrpSpPr>
      <xdr:grpSpPr>
        <a:xfrm>
          <a:off x="2892373" y="6935043"/>
          <a:ext cx="16124614" cy="3170425"/>
          <a:chOff x="2360968" y="6247130"/>
          <a:chExt cx="18007027" cy="3151912"/>
        </a:xfrm>
      </xdr:grpSpPr>
      <xdr:sp macro="" textlink="">
        <xdr:nvSpPr>
          <xdr:cNvPr id="67" name="Rectángulo 66">
            <a:extLst>
              <a:ext uri="{FF2B5EF4-FFF2-40B4-BE49-F238E27FC236}">
                <a16:creationId xmlns:a16="http://schemas.microsoft.com/office/drawing/2014/main" id="{0F3C1FA6-75BA-C9AB-5F96-E729284D5487}"/>
              </a:ext>
            </a:extLst>
          </xdr:cNvPr>
          <xdr:cNvSpPr/>
        </xdr:nvSpPr>
        <xdr:spPr>
          <a:xfrm flipH="1">
            <a:off x="3409116" y="6881670"/>
            <a:ext cx="1080000" cy="54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CSRT</a:t>
            </a:r>
          </a:p>
          <a:p>
            <a:pPr algn="ctr"/>
            <a:r>
              <a:rPr lang="en-US" sz="1100"/>
              <a:t>Digester</a:t>
            </a:r>
          </a:p>
        </xdr:txBody>
      </xdr:sp>
      <xdr:sp macro="" textlink="">
        <xdr:nvSpPr>
          <xdr:cNvPr id="68" name="Elipse 67">
            <a:extLst>
              <a:ext uri="{FF2B5EF4-FFF2-40B4-BE49-F238E27FC236}">
                <a16:creationId xmlns:a16="http://schemas.microsoft.com/office/drawing/2014/main" id="{48B80FEA-1128-362E-C546-23777B1C1EEC}"/>
              </a:ext>
            </a:extLst>
          </xdr:cNvPr>
          <xdr:cNvSpPr/>
        </xdr:nvSpPr>
        <xdr:spPr>
          <a:xfrm flipH="1">
            <a:off x="9474711" y="6935670"/>
            <a:ext cx="432000" cy="43200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G</a:t>
            </a:r>
          </a:p>
        </xdr:txBody>
      </xdr:sp>
      <xdr:sp macro="" textlink="">
        <xdr:nvSpPr>
          <xdr:cNvPr id="69" name="Rectángulo 68">
            <a:extLst>
              <a:ext uri="{FF2B5EF4-FFF2-40B4-BE49-F238E27FC236}">
                <a16:creationId xmlns:a16="http://schemas.microsoft.com/office/drawing/2014/main" id="{6E3D30A0-23C9-3922-815A-893254D7A38E}"/>
              </a:ext>
            </a:extLst>
          </xdr:cNvPr>
          <xdr:cNvSpPr/>
        </xdr:nvSpPr>
        <xdr:spPr>
          <a:xfrm flipH="1">
            <a:off x="7740563" y="6881670"/>
            <a:ext cx="1080000" cy="54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Biogas engine</a:t>
            </a:r>
          </a:p>
        </xdr:txBody>
      </xdr:sp>
      <xdr:sp macro="" textlink="">
        <xdr:nvSpPr>
          <xdr:cNvPr id="70" name="Rectángulo 69">
            <a:extLst>
              <a:ext uri="{FF2B5EF4-FFF2-40B4-BE49-F238E27FC236}">
                <a16:creationId xmlns:a16="http://schemas.microsoft.com/office/drawing/2014/main" id="{F40C0902-4893-1290-D8AC-56B5E003C0BB}"/>
              </a:ext>
            </a:extLst>
          </xdr:cNvPr>
          <xdr:cNvSpPr/>
        </xdr:nvSpPr>
        <xdr:spPr>
          <a:xfrm flipH="1">
            <a:off x="5624129" y="6881670"/>
            <a:ext cx="1080000" cy="54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Biogas cleaning</a:t>
            </a:r>
          </a:p>
        </xdr:txBody>
      </xdr:sp>
      <xdr:cxnSp macro="">
        <xdr:nvCxnSpPr>
          <xdr:cNvPr id="71" name="Conector recto de flecha 70">
            <a:extLst>
              <a:ext uri="{FF2B5EF4-FFF2-40B4-BE49-F238E27FC236}">
                <a16:creationId xmlns:a16="http://schemas.microsoft.com/office/drawing/2014/main" id="{8A10944D-D16E-4A2D-BE19-E93335605E31}"/>
              </a:ext>
            </a:extLst>
          </xdr:cNvPr>
          <xdr:cNvCxnSpPr>
            <a:stCxn id="69" idx="1"/>
            <a:endCxn id="68" idx="6"/>
          </xdr:cNvCxnSpPr>
        </xdr:nvCxnSpPr>
        <xdr:spPr>
          <a:xfrm>
            <a:off x="8820563" y="7151670"/>
            <a:ext cx="654148" cy="0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Conector recto de flecha 71">
            <a:extLst>
              <a:ext uri="{FF2B5EF4-FFF2-40B4-BE49-F238E27FC236}">
                <a16:creationId xmlns:a16="http://schemas.microsoft.com/office/drawing/2014/main" id="{297735AA-7E07-F171-EFCB-02C529C64735}"/>
              </a:ext>
            </a:extLst>
          </xdr:cNvPr>
          <xdr:cNvCxnSpPr>
            <a:stCxn id="70" idx="1"/>
            <a:endCxn id="69" idx="3"/>
          </xdr:cNvCxnSpPr>
        </xdr:nvCxnSpPr>
        <xdr:spPr>
          <a:xfrm>
            <a:off x="6704129" y="7151670"/>
            <a:ext cx="1036434" cy="0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Conector recto de flecha 72">
            <a:extLst>
              <a:ext uri="{FF2B5EF4-FFF2-40B4-BE49-F238E27FC236}">
                <a16:creationId xmlns:a16="http://schemas.microsoft.com/office/drawing/2014/main" id="{3E21B50A-E707-91FF-B6DC-7329110F1F61}"/>
              </a:ext>
            </a:extLst>
          </xdr:cNvPr>
          <xdr:cNvCxnSpPr>
            <a:stCxn id="67" idx="1"/>
            <a:endCxn id="70" idx="3"/>
          </xdr:cNvCxnSpPr>
        </xdr:nvCxnSpPr>
        <xdr:spPr>
          <a:xfrm>
            <a:off x="4489116" y="7151670"/>
            <a:ext cx="1135013" cy="0"/>
          </a:xfrm>
          <a:prstGeom prst="straightConnector1">
            <a:avLst/>
          </a:prstGeom>
          <a:ln w="19050">
            <a:prstDash val="dash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Conector: angular 73">
            <a:extLst>
              <a:ext uri="{FF2B5EF4-FFF2-40B4-BE49-F238E27FC236}">
                <a16:creationId xmlns:a16="http://schemas.microsoft.com/office/drawing/2014/main" id="{8B95C9FC-195C-67D8-85E8-9D9B504672DA}"/>
              </a:ext>
            </a:extLst>
          </xdr:cNvPr>
          <xdr:cNvCxnSpPr>
            <a:stCxn id="69" idx="0"/>
          </xdr:cNvCxnSpPr>
        </xdr:nvCxnSpPr>
        <xdr:spPr>
          <a:xfrm rot="5400000" flipH="1" flipV="1">
            <a:off x="8352245" y="6347848"/>
            <a:ext cx="462140" cy="605505"/>
          </a:xfrm>
          <a:prstGeom prst="bentConnector2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75" name="CuadroTexto 109">
                <a:extLst>
                  <a:ext uri="{FF2B5EF4-FFF2-40B4-BE49-F238E27FC236}">
                    <a16:creationId xmlns:a16="http://schemas.microsoft.com/office/drawing/2014/main" id="{0ED469EC-6519-4F94-E2B8-150CA5464E05}"/>
                  </a:ext>
                </a:extLst>
              </xdr:cNvPr>
              <xdr:cNvSpPr txBox="1"/>
            </xdr:nvSpPr>
            <xdr:spPr>
              <a:xfrm flipH="1">
                <a:off x="8917583" y="6299256"/>
                <a:ext cx="918162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000" i="1">
                          <a:latin typeface="Cambria Math" panose="02040503050406030204" pitchFamily="18" charset="0"/>
                        </a:rPr>
                        <m:t>𝐸𝑥h𝑎𝑢𝑠𝑡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𝑔𝑎𝑠</m:t>
                      </m:r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75" name="CuadroTexto 109">
                <a:extLst>
                  <a:ext uri="{FF2B5EF4-FFF2-40B4-BE49-F238E27FC236}">
                    <a16:creationId xmlns:a16="http://schemas.microsoft.com/office/drawing/2014/main" id="{0ED469EC-6519-4F94-E2B8-150CA5464E05}"/>
                  </a:ext>
                </a:extLst>
              </xdr:cNvPr>
              <xdr:cNvSpPr txBox="1"/>
            </xdr:nvSpPr>
            <xdr:spPr>
              <a:xfrm flipH="1">
                <a:off x="8917583" y="6299256"/>
                <a:ext cx="918162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𝐸𝑥ℎ𝑎𝑢𝑠𝑡 𝑔𝑎𝑠</a:t>
                </a:r>
                <a:endParaRPr lang="en-US" sz="1000"/>
              </a:p>
            </xdr:txBody>
          </xdr:sp>
        </mc:Fallback>
      </mc:AlternateContent>
      <xdr:cxnSp macro="">
        <xdr:nvCxnSpPr>
          <xdr:cNvPr id="76" name="Conector recto de flecha 75">
            <a:extLst>
              <a:ext uri="{FF2B5EF4-FFF2-40B4-BE49-F238E27FC236}">
                <a16:creationId xmlns:a16="http://schemas.microsoft.com/office/drawing/2014/main" id="{0DA3D332-FF68-B2E2-C50E-B03B187D7A3E}"/>
              </a:ext>
            </a:extLst>
          </xdr:cNvPr>
          <xdr:cNvCxnSpPr>
            <a:cxnSpLocks/>
            <a:stCxn id="67" idx="2"/>
            <a:endCxn id="83" idx="0"/>
          </xdr:cNvCxnSpPr>
        </xdr:nvCxnSpPr>
        <xdr:spPr>
          <a:xfrm flipH="1">
            <a:off x="3947683" y="7421670"/>
            <a:ext cx="1433" cy="958248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77" name="CuadroTexto 119">
                <a:extLst>
                  <a:ext uri="{FF2B5EF4-FFF2-40B4-BE49-F238E27FC236}">
                    <a16:creationId xmlns:a16="http://schemas.microsoft.com/office/drawing/2014/main" id="{26B7BCEE-E4D5-A7C6-ADEB-695C35BBF584}"/>
                  </a:ext>
                </a:extLst>
              </xdr:cNvPr>
              <xdr:cNvSpPr txBox="1"/>
            </xdr:nvSpPr>
            <xdr:spPr>
              <a:xfrm flipH="1">
                <a:off x="3875661" y="9053859"/>
                <a:ext cx="918162" cy="249408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000" b="0" i="1">
                          <a:latin typeface="Cambria Math" panose="02040503050406030204" pitchFamily="18" charset="0"/>
                        </a:rPr>
                        <m:t>𝑆𝑙𝑢𝑑𝑔𝑒</m:t>
                      </m:r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77" name="CuadroTexto 119">
                <a:extLst>
                  <a:ext uri="{FF2B5EF4-FFF2-40B4-BE49-F238E27FC236}">
                    <a16:creationId xmlns:a16="http://schemas.microsoft.com/office/drawing/2014/main" id="{26B7BCEE-E4D5-A7C6-ADEB-695C35BBF584}"/>
                  </a:ext>
                </a:extLst>
              </xdr:cNvPr>
              <xdr:cNvSpPr txBox="1"/>
            </xdr:nvSpPr>
            <xdr:spPr>
              <a:xfrm flipH="1">
                <a:off x="3875661" y="9053859"/>
                <a:ext cx="918162" cy="249408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b="0" i="0">
                    <a:latin typeface="Cambria Math" panose="02040503050406030204" pitchFamily="18" charset="0"/>
                  </a:rPr>
                  <a:t>𝑆𝑙𝑢𝑑𝑔𝑒</a:t>
                </a:r>
                <a:endParaRPr lang="en-US" sz="1000"/>
              </a:p>
            </xdr:txBody>
          </xdr:sp>
        </mc:Fallback>
      </mc:AlternateContent>
      <xdr:cxnSp macro="">
        <xdr:nvCxnSpPr>
          <xdr:cNvPr id="78" name="Conector recto de flecha 77">
            <a:extLst>
              <a:ext uri="{FF2B5EF4-FFF2-40B4-BE49-F238E27FC236}">
                <a16:creationId xmlns:a16="http://schemas.microsoft.com/office/drawing/2014/main" id="{45CE0301-B2C7-B5BE-825F-5330A3389465}"/>
              </a:ext>
            </a:extLst>
          </xdr:cNvPr>
          <xdr:cNvCxnSpPr>
            <a:cxnSpLocks/>
            <a:stCxn id="68" idx="2"/>
          </xdr:cNvCxnSpPr>
        </xdr:nvCxnSpPr>
        <xdr:spPr>
          <a:xfrm flipV="1">
            <a:off x="9906711" y="7097325"/>
            <a:ext cx="10461284" cy="54345"/>
          </a:xfrm>
          <a:prstGeom prst="straightConnector1">
            <a:avLst/>
          </a:prstGeom>
          <a:ln w="19050" cap="flat" cmpd="sng" algn="ctr">
            <a:solidFill>
              <a:schemeClr val="accent4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grpSp>
        <xdr:nvGrpSpPr>
          <xdr:cNvPr id="79" name="Grupo 78">
            <a:extLst>
              <a:ext uri="{FF2B5EF4-FFF2-40B4-BE49-F238E27FC236}">
                <a16:creationId xmlns:a16="http://schemas.microsoft.com/office/drawing/2014/main" id="{C24C49C1-D7DA-9280-700C-BFDE9E6E8A9B}"/>
              </a:ext>
            </a:extLst>
          </xdr:cNvPr>
          <xdr:cNvGrpSpPr/>
        </xdr:nvGrpSpPr>
        <xdr:grpSpPr>
          <a:xfrm>
            <a:off x="9165813" y="7073422"/>
            <a:ext cx="28575" cy="144000"/>
            <a:chOff x="4488316" y="6969419"/>
            <a:chExt cx="28575" cy="144000"/>
          </a:xfrm>
        </xdr:grpSpPr>
        <xdr:cxnSp macro="">
          <xdr:nvCxnSpPr>
            <xdr:cNvPr id="86" name="Conector recto 85">
              <a:extLst>
                <a:ext uri="{FF2B5EF4-FFF2-40B4-BE49-F238E27FC236}">
                  <a16:creationId xmlns:a16="http://schemas.microsoft.com/office/drawing/2014/main" id="{C0DDA35D-D675-91C0-6D94-06E62F99AAF2}"/>
                </a:ext>
              </a:extLst>
            </xdr:cNvPr>
            <xdr:cNvCxnSpPr/>
          </xdr:nvCxnSpPr>
          <xdr:spPr>
            <a:xfrm>
              <a:off x="4488316" y="6969419"/>
              <a:ext cx="0" cy="144000"/>
            </a:xfrm>
            <a:prstGeom prst="line">
              <a:avLst/>
            </a:prstGeom>
            <a:ln w="19050"/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Conector recto 86">
              <a:extLst>
                <a:ext uri="{FF2B5EF4-FFF2-40B4-BE49-F238E27FC236}">
                  <a16:creationId xmlns:a16="http://schemas.microsoft.com/office/drawing/2014/main" id="{BAC03DC7-8766-3F79-256F-C782CCFAED6A}"/>
                </a:ext>
              </a:extLst>
            </xdr:cNvPr>
            <xdr:cNvCxnSpPr/>
          </xdr:nvCxnSpPr>
          <xdr:spPr>
            <a:xfrm>
              <a:off x="4516891" y="6969419"/>
              <a:ext cx="0" cy="144000"/>
            </a:xfrm>
            <a:prstGeom prst="line">
              <a:avLst/>
            </a:prstGeom>
            <a:ln w="19050"/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80" name="Conector recto de flecha 79">
            <a:extLst>
              <a:ext uri="{FF2B5EF4-FFF2-40B4-BE49-F238E27FC236}">
                <a16:creationId xmlns:a16="http://schemas.microsoft.com/office/drawing/2014/main" id="{29AAEE97-84A7-C0DC-8BF4-90D0DDB80421}"/>
              </a:ext>
            </a:extLst>
          </xdr:cNvPr>
          <xdr:cNvCxnSpPr/>
        </xdr:nvCxnSpPr>
        <xdr:spPr>
          <a:xfrm flipV="1">
            <a:off x="10223855" y="6575389"/>
            <a:ext cx="0" cy="582314"/>
          </a:xfrm>
          <a:prstGeom prst="straightConnector1">
            <a:avLst/>
          </a:prstGeom>
          <a:ln w="19050" cap="flat" cmpd="sng" algn="ctr">
            <a:solidFill>
              <a:schemeClr val="accent4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1" name="CuadroTexto 329">
                <a:extLst>
                  <a:ext uri="{FF2B5EF4-FFF2-40B4-BE49-F238E27FC236}">
                    <a16:creationId xmlns:a16="http://schemas.microsoft.com/office/drawing/2014/main" id="{25901B34-297D-F782-9342-145C80AF4016}"/>
                  </a:ext>
                </a:extLst>
              </xdr:cNvPr>
              <xdr:cNvSpPr txBox="1"/>
            </xdr:nvSpPr>
            <xdr:spPr>
              <a:xfrm>
                <a:off x="9903403" y="6247130"/>
                <a:ext cx="728359" cy="266933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𝑎𝑢𝑥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81" name="CuadroTexto 329">
                <a:extLst>
                  <a:ext uri="{FF2B5EF4-FFF2-40B4-BE49-F238E27FC236}">
                    <a16:creationId xmlns:a16="http://schemas.microsoft.com/office/drawing/2014/main" id="{25901B34-297D-F782-9342-145C80AF4016}"/>
                  </a:ext>
                </a:extLst>
              </xdr:cNvPr>
              <xdr:cNvSpPr txBox="1"/>
            </xdr:nvSpPr>
            <xdr:spPr>
              <a:xfrm>
                <a:off x="9903403" y="6247130"/>
                <a:ext cx="728359" cy="266933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𝑎𝑢𝑥</a:t>
                </a:r>
                <a:endParaRPr lang="en-US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2" name="CuadroTexto 331">
                <a:extLst>
                  <a:ext uri="{FF2B5EF4-FFF2-40B4-BE49-F238E27FC236}">
                    <a16:creationId xmlns:a16="http://schemas.microsoft.com/office/drawing/2014/main" id="{574DD43D-6F86-208F-11A3-00DF4496C4CF}"/>
                  </a:ext>
                </a:extLst>
              </xdr:cNvPr>
              <xdr:cNvSpPr txBox="1"/>
            </xdr:nvSpPr>
            <xdr:spPr>
              <a:xfrm>
                <a:off x="10267582" y="6831623"/>
                <a:ext cx="728359" cy="266933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𝑛𝑒𝑡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82" name="CuadroTexto 331">
                <a:extLst>
                  <a:ext uri="{FF2B5EF4-FFF2-40B4-BE49-F238E27FC236}">
                    <a16:creationId xmlns:a16="http://schemas.microsoft.com/office/drawing/2014/main" id="{574DD43D-6F86-208F-11A3-00DF4496C4CF}"/>
                  </a:ext>
                </a:extLst>
              </xdr:cNvPr>
              <xdr:cNvSpPr txBox="1"/>
            </xdr:nvSpPr>
            <xdr:spPr>
              <a:xfrm>
                <a:off x="10267582" y="6831623"/>
                <a:ext cx="728359" cy="266933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𝑛𝑒𝑡</a:t>
                </a:r>
                <a:endParaRPr lang="en-US" sz="1100"/>
              </a:p>
            </xdr:txBody>
          </xdr:sp>
        </mc:Fallback>
      </mc:AlternateContent>
      <xdr:sp macro="" textlink="">
        <xdr:nvSpPr>
          <xdr:cNvPr id="83" name="Rectángulo 82">
            <a:extLst>
              <a:ext uri="{FF2B5EF4-FFF2-40B4-BE49-F238E27FC236}">
                <a16:creationId xmlns:a16="http://schemas.microsoft.com/office/drawing/2014/main" id="{3DEF6904-0140-FC46-4757-B17DE4441CCA}"/>
              </a:ext>
            </a:extLst>
          </xdr:cNvPr>
          <xdr:cNvSpPr/>
        </xdr:nvSpPr>
        <xdr:spPr>
          <a:xfrm flipH="1">
            <a:off x="3407683" y="8379918"/>
            <a:ext cx="1080000" cy="5400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Facultative Lagoon</a:t>
            </a:r>
          </a:p>
        </xdr:txBody>
      </xdr:sp>
      <xdr:cxnSp macro="">
        <xdr:nvCxnSpPr>
          <xdr:cNvPr id="84" name="Conector recto de flecha 83">
            <a:extLst>
              <a:ext uri="{FF2B5EF4-FFF2-40B4-BE49-F238E27FC236}">
                <a16:creationId xmlns:a16="http://schemas.microsoft.com/office/drawing/2014/main" id="{66A38C5E-D553-1CE3-9360-89832A801031}"/>
              </a:ext>
            </a:extLst>
          </xdr:cNvPr>
          <xdr:cNvCxnSpPr>
            <a:cxnSpLocks/>
          </xdr:cNvCxnSpPr>
        </xdr:nvCxnSpPr>
        <xdr:spPr>
          <a:xfrm>
            <a:off x="3949116" y="8919918"/>
            <a:ext cx="0" cy="479124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5" name="CuadroTexto 119">
                <a:extLst>
                  <a:ext uri="{FF2B5EF4-FFF2-40B4-BE49-F238E27FC236}">
                    <a16:creationId xmlns:a16="http://schemas.microsoft.com/office/drawing/2014/main" id="{98501561-D9F2-80C3-0BEB-8D1F2372472E}"/>
                  </a:ext>
                </a:extLst>
              </xdr:cNvPr>
              <xdr:cNvSpPr txBox="1"/>
            </xdr:nvSpPr>
            <xdr:spPr>
              <a:xfrm flipH="1">
                <a:off x="2360968" y="7586781"/>
                <a:ext cx="918162" cy="249408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000" b="0" i="1">
                          <a:latin typeface="Cambria Math" panose="02040503050406030204" pitchFamily="18" charset="0"/>
                        </a:rPr>
                        <m:t>𝐸𝑓𝑙𝑢𝑒𝑛𝑡</m:t>
                      </m:r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85" name="CuadroTexto 119">
                <a:extLst>
                  <a:ext uri="{FF2B5EF4-FFF2-40B4-BE49-F238E27FC236}">
                    <a16:creationId xmlns:a16="http://schemas.microsoft.com/office/drawing/2014/main" id="{98501561-D9F2-80C3-0BEB-8D1F2372472E}"/>
                  </a:ext>
                </a:extLst>
              </xdr:cNvPr>
              <xdr:cNvSpPr txBox="1"/>
            </xdr:nvSpPr>
            <xdr:spPr>
              <a:xfrm flipH="1">
                <a:off x="2360968" y="7586781"/>
                <a:ext cx="918162" cy="249408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b="0" i="0">
                    <a:latin typeface="Cambria Math" panose="02040503050406030204" pitchFamily="18" charset="0"/>
                  </a:rPr>
                  <a:t>𝐸𝑓𝑙𝑢𝑒𝑛𝑡</a:t>
                </a:r>
                <a:endParaRPr lang="en-US" sz="1000"/>
              </a:p>
            </xdr:txBody>
          </xdr:sp>
        </mc:Fallback>
      </mc:AlternateContent>
    </xdr:grpSp>
    <xdr:clientData/>
  </xdr:twoCellAnchor>
  <xdr:twoCellAnchor>
    <xdr:from>
      <xdr:col>12</xdr:col>
      <xdr:colOff>259177</xdr:colOff>
      <xdr:row>5</xdr:row>
      <xdr:rowOff>129886</xdr:rowOff>
    </xdr:from>
    <xdr:to>
      <xdr:col>12</xdr:col>
      <xdr:colOff>259177</xdr:colOff>
      <xdr:row>8</xdr:row>
      <xdr:rowOff>87586</xdr:rowOff>
    </xdr:to>
    <xdr:cxnSp macro="">
      <xdr:nvCxnSpPr>
        <xdr:cNvPr id="88" name="Conector recto de flecha 87">
          <a:extLst>
            <a:ext uri="{FF2B5EF4-FFF2-40B4-BE49-F238E27FC236}">
              <a16:creationId xmlns:a16="http://schemas.microsoft.com/office/drawing/2014/main" id="{22ADE9C2-F670-4624-A2EF-E95D89306B09}"/>
            </a:ext>
          </a:extLst>
        </xdr:cNvPr>
        <xdr:cNvCxnSpPr/>
      </xdr:nvCxnSpPr>
      <xdr:spPr>
        <a:xfrm>
          <a:off x="6936202" y="891886"/>
          <a:ext cx="0" cy="4149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285210</xdr:colOff>
      <xdr:row>5</xdr:row>
      <xdr:rowOff>129886</xdr:rowOff>
    </xdr:from>
    <xdr:to>
      <xdr:col>16</xdr:col>
      <xdr:colOff>285210</xdr:colOff>
      <xdr:row>8</xdr:row>
      <xdr:rowOff>87586</xdr:rowOff>
    </xdr:to>
    <xdr:cxnSp macro="">
      <xdr:nvCxnSpPr>
        <xdr:cNvPr id="89" name="Conector recto de flecha 88">
          <a:extLst>
            <a:ext uri="{FF2B5EF4-FFF2-40B4-BE49-F238E27FC236}">
              <a16:creationId xmlns:a16="http://schemas.microsoft.com/office/drawing/2014/main" id="{59ADC6F4-6426-43C8-BABC-848EC3195EA4}"/>
            </a:ext>
          </a:extLst>
        </xdr:cNvPr>
        <xdr:cNvCxnSpPr/>
      </xdr:nvCxnSpPr>
      <xdr:spPr>
        <a:xfrm>
          <a:off x="9210135" y="891886"/>
          <a:ext cx="0" cy="4149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200235</xdr:colOff>
      <xdr:row>5</xdr:row>
      <xdr:rowOff>129886</xdr:rowOff>
    </xdr:from>
    <xdr:to>
      <xdr:col>20</xdr:col>
      <xdr:colOff>200235</xdr:colOff>
      <xdr:row>8</xdr:row>
      <xdr:rowOff>87586</xdr:rowOff>
    </xdr:to>
    <xdr:cxnSp macro="">
      <xdr:nvCxnSpPr>
        <xdr:cNvPr id="90" name="Conector recto de flecha 89">
          <a:extLst>
            <a:ext uri="{FF2B5EF4-FFF2-40B4-BE49-F238E27FC236}">
              <a16:creationId xmlns:a16="http://schemas.microsoft.com/office/drawing/2014/main" id="{685FE7C3-D4D2-4A1A-932C-C9707BC1BE92}"/>
            </a:ext>
          </a:extLst>
        </xdr:cNvPr>
        <xdr:cNvCxnSpPr/>
      </xdr:nvCxnSpPr>
      <xdr:spPr>
        <a:xfrm>
          <a:off x="11373060" y="891886"/>
          <a:ext cx="0" cy="4149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374710</xdr:colOff>
      <xdr:row>11</xdr:row>
      <xdr:rowOff>46401</xdr:rowOff>
    </xdr:from>
    <xdr:to>
      <xdr:col>27</xdr:col>
      <xdr:colOff>303620</xdr:colOff>
      <xdr:row>15</xdr:row>
      <xdr:rowOff>133462</xdr:rowOff>
    </xdr:to>
    <xdr:sp macro="" textlink="">
      <xdr:nvSpPr>
        <xdr:cNvPr id="91" name="Rectángulo 90">
          <a:extLst>
            <a:ext uri="{FF2B5EF4-FFF2-40B4-BE49-F238E27FC236}">
              <a16:creationId xmlns:a16="http://schemas.microsoft.com/office/drawing/2014/main" id="{36EFFAAE-F23C-4591-BA50-C4B91E032905}"/>
            </a:ext>
          </a:extLst>
        </xdr:cNvPr>
        <xdr:cNvSpPr/>
      </xdr:nvSpPr>
      <xdr:spPr>
        <a:xfrm>
          <a:off x="14357410" y="1722801"/>
          <a:ext cx="1052860" cy="696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Hot Water</a:t>
          </a:r>
        </a:p>
      </xdr:txBody>
    </xdr:sp>
    <xdr:clientData/>
  </xdr:twoCellAnchor>
  <xdr:twoCellAnchor>
    <xdr:from>
      <xdr:col>23</xdr:col>
      <xdr:colOff>340881</xdr:colOff>
      <xdr:row>19</xdr:row>
      <xdr:rowOff>98093</xdr:rowOff>
    </xdr:from>
    <xdr:to>
      <xdr:col>25</xdr:col>
      <xdr:colOff>229202</xdr:colOff>
      <xdr:row>24</xdr:row>
      <xdr:rowOff>147496</xdr:rowOff>
    </xdr:to>
    <xdr:grpSp>
      <xdr:nvGrpSpPr>
        <xdr:cNvPr id="92" name="Grupo 91">
          <a:extLst>
            <a:ext uri="{FF2B5EF4-FFF2-40B4-BE49-F238E27FC236}">
              <a16:creationId xmlns:a16="http://schemas.microsoft.com/office/drawing/2014/main" id="{CD0D6182-0EDC-4F9D-9445-BBE1C588F17E}"/>
            </a:ext>
          </a:extLst>
        </xdr:cNvPr>
        <xdr:cNvGrpSpPr/>
      </xdr:nvGrpSpPr>
      <xdr:grpSpPr>
        <a:xfrm>
          <a:off x="12113781" y="3298493"/>
          <a:ext cx="917021" cy="811403"/>
          <a:chOff x="5999852" y="6182887"/>
          <a:chExt cx="1031321" cy="833815"/>
        </a:xfrm>
      </xdr:grpSpPr>
      <xdr:sp macro="" textlink="">
        <xdr:nvSpPr>
          <xdr:cNvPr id="93" name="Elipse 92">
            <a:extLst>
              <a:ext uri="{FF2B5EF4-FFF2-40B4-BE49-F238E27FC236}">
                <a16:creationId xmlns:a16="http://schemas.microsoft.com/office/drawing/2014/main" id="{3E1B842D-7759-19BB-EFCC-BAB354D99557}"/>
              </a:ext>
            </a:extLst>
          </xdr:cNvPr>
          <xdr:cNvSpPr/>
        </xdr:nvSpPr>
        <xdr:spPr>
          <a:xfrm rot="5400000" flipH="1">
            <a:off x="6739530" y="6188687"/>
            <a:ext cx="297444" cy="285843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2657"/>
          </a:p>
        </xdr:txBody>
      </xdr:sp>
      <xdr:sp macro="" textlink="">
        <xdr:nvSpPr>
          <xdr:cNvPr id="94" name="Triángulo isósceles 93">
            <a:extLst>
              <a:ext uri="{FF2B5EF4-FFF2-40B4-BE49-F238E27FC236}">
                <a16:creationId xmlns:a16="http://schemas.microsoft.com/office/drawing/2014/main" id="{FE3B0892-A817-7089-5ED3-A2154544BC42}"/>
              </a:ext>
            </a:extLst>
          </xdr:cNvPr>
          <xdr:cNvSpPr/>
        </xdr:nvSpPr>
        <xdr:spPr>
          <a:xfrm rot="5400000" flipH="1">
            <a:off x="6806250" y="6221951"/>
            <a:ext cx="196746" cy="216722"/>
          </a:xfrm>
          <a:prstGeom prst="triangl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2657"/>
          </a:p>
        </xdr:txBody>
      </xdr:sp>
      <xdr:cxnSp macro="">
        <xdr:nvCxnSpPr>
          <xdr:cNvPr id="95" name="Conector recto 94">
            <a:extLst>
              <a:ext uri="{FF2B5EF4-FFF2-40B4-BE49-F238E27FC236}">
                <a16:creationId xmlns:a16="http://schemas.microsoft.com/office/drawing/2014/main" id="{71D5797B-DBA0-A182-FE6A-306F0E55AFE8}"/>
              </a:ext>
            </a:extLst>
          </xdr:cNvPr>
          <xdr:cNvCxnSpPr/>
        </xdr:nvCxnSpPr>
        <xdr:spPr>
          <a:xfrm>
            <a:off x="5999852" y="6908491"/>
            <a:ext cx="357303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Conector recto 95">
            <a:extLst>
              <a:ext uri="{FF2B5EF4-FFF2-40B4-BE49-F238E27FC236}">
                <a16:creationId xmlns:a16="http://schemas.microsoft.com/office/drawing/2014/main" id="{BEE6CB92-13BE-4165-7A8C-4FD30AC26FA7}"/>
              </a:ext>
            </a:extLst>
          </xdr:cNvPr>
          <xdr:cNvCxnSpPr/>
        </xdr:nvCxnSpPr>
        <xdr:spPr>
          <a:xfrm>
            <a:off x="6035582" y="6962596"/>
            <a:ext cx="285842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Conector recto 96">
            <a:extLst>
              <a:ext uri="{FF2B5EF4-FFF2-40B4-BE49-F238E27FC236}">
                <a16:creationId xmlns:a16="http://schemas.microsoft.com/office/drawing/2014/main" id="{9C2B5BD7-E552-0ED6-1163-60741C1D40D7}"/>
              </a:ext>
            </a:extLst>
          </xdr:cNvPr>
          <xdr:cNvCxnSpPr/>
        </xdr:nvCxnSpPr>
        <xdr:spPr>
          <a:xfrm>
            <a:off x="6089178" y="7016702"/>
            <a:ext cx="178652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Conector: angular 97">
            <a:extLst>
              <a:ext uri="{FF2B5EF4-FFF2-40B4-BE49-F238E27FC236}">
                <a16:creationId xmlns:a16="http://schemas.microsoft.com/office/drawing/2014/main" id="{DD930318-33AD-11CA-B865-19E6E12DB430}"/>
              </a:ext>
            </a:extLst>
          </xdr:cNvPr>
          <xdr:cNvCxnSpPr>
            <a:endCxn id="93" idx="4"/>
          </xdr:cNvCxnSpPr>
        </xdr:nvCxnSpPr>
        <xdr:spPr>
          <a:xfrm flipV="1">
            <a:off x="6179580" y="6331608"/>
            <a:ext cx="565750" cy="564814"/>
          </a:xfrm>
          <a:prstGeom prst="bentConnector3">
            <a:avLst>
              <a:gd name="adj1" fmla="val 631"/>
            </a:avLst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171670</xdr:colOff>
      <xdr:row>32</xdr:row>
      <xdr:rowOff>32845</xdr:rowOff>
    </xdr:from>
    <xdr:to>
      <xdr:col>32</xdr:col>
      <xdr:colOff>177362</xdr:colOff>
      <xdr:row>37</xdr:row>
      <xdr:rowOff>123594</xdr:rowOff>
    </xdr:to>
    <xdr:cxnSp macro="">
      <xdr:nvCxnSpPr>
        <xdr:cNvPr id="99" name="Conector recto de flecha 98">
          <a:extLst>
            <a:ext uri="{FF2B5EF4-FFF2-40B4-BE49-F238E27FC236}">
              <a16:creationId xmlns:a16="http://schemas.microsoft.com/office/drawing/2014/main" id="{8EE06C02-538F-484F-9DD1-07FE2C252ECB}"/>
            </a:ext>
          </a:extLst>
        </xdr:cNvPr>
        <xdr:cNvCxnSpPr>
          <a:cxnSpLocks/>
          <a:endCxn id="148" idx="6"/>
        </xdr:cNvCxnSpPr>
      </xdr:nvCxnSpPr>
      <xdr:spPr>
        <a:xfrm flipH="1">
          <a:off x="18088195" y="4909645"/>
          <a:ext cx="5692" cy="8527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280149</xdr:colOff>
      <xdr:row>5</xdr:row>
      <xdr:rowOff>123265</xdr:rowOff>
    </xdr:from>
    <xdr:to>
      <xdr:col>23</xdr:col>
      <xdr:colOff>532087</xdr:colOff>
      <xdr:row>32</xdr:row>
      <xdr:rowOff>144518</xdr:rowOff>
    </xdr:to>
    <xdr:cxnSp macro="">
      <xdr:nvCxnSpPr>
        <xdr:cNvPr id="100" name="Conector: angular 99">
          <a:extLst>
            <a:ext uri="{FF2B5EF4-FFF2-40B4-BE49-F238E27FC236}">
              <a16:creationId xmlns:a16="http://schemas.microsoft.com/office/drawing/2014/main" id="{2C9DD873-F9B8-4FBF-A661-16A1325B4470}"/>
            </a:ext>
          </a:extLst>
        </xdr:cNvPr>
        <xdr:cNvCxnSpPr/>
      </xdr:nvCxnSpPr>
      <xdr:spPr>
        <a:xfrm rot="16200000" flipV="1">
          <a:off x="10915854" y="2546335"/>
          <a:ext cx="4136053" cy="813913"/>
        </a:xfrm>
        <a:prstGeom prst="bentConnector3">
          <a:avLst>
            <a:gd name="adj1" fmla="val 269"/>
          </a:avLst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125884</xdr:colOff>
      <xdr:row>18</xdr:row>
      <xdr:rowOff>28572</xdr:rowOff>
    </xdr:from>
    <xdr:to>
      <xdr:col>22</xdr:col>
      <xdr:colOff>64459</xdr:colOff>
      <xdr:row>18</xdr:row>
      <xdr:rowOff>28572</xdr:rowOff>
    </xdr:to>
    <xdr:cxnSp macro="">
      <xdr:nvCxnSpPr>
        <xdr:cNvPr id="101" name="Conector recto 100">
          <a:extLst>
            <a:ext uri="{FF2B5EF4-FFF2-40B4-BE49-F238E27FC236}">
              <a16:creationId xmlns:a16="http://schemas.microsoft.com/office/drawing/2014/main" id="{6899DF32-AF22-48BC-A165-0EA5AAC030D6}"/>
            </a:ext>
          </a:extLst>
        </xdr:cNvPr>
        <xdr:cNvCxnSpPr/>
      </xdr:nvCxnSpPr>
      <xdr:spPr>
        <a:xfrm>
          <a:off x="1811809" y="2771772"/>
          <a:ext cx="10549425" cy="0"/>
        </a:xfrm>
        <a:prstGeom prst="line">
          <a:avLst/>
        </a:prstGeom>
        <a:ln w="28575"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68374</xdr:colOff>
      <xdr:row>12</xdr:row>
      <xdr:rowOff>36835</xdr:rowOff>
    </xdr:from>
    <xdr:to>
      <xdr:col>5</xdr:col>
      <xdr:colOff>90894</xdr:colOff>
      <xdr:row>18</xdr:row>
      <xdr:rowOff>28574</xdr:rowOff>
    </xdr:to>
    <xdr:cxnSp macro="">
      <xdr:nvCxnSpPr>
        <xdr:cNvPr id="102" name="Conector recto de flecha 101">
          <a:extLst>
            <a:ext uri="{FF2B5EF4-FFF2-40B4-BE49-F238E27FC236}">
              <a16:creationId xmlns:a16="http://schemas.microsoft.com/office/drawing/2014/main" id="{5F58A635-9C26-4CAD-93E5-7E5A40D3DB40}"/>
            </a:ext>
          </a:extLst>
        </xdr:cNvPr>
        <xdr:cNvCxnSpPr>
          <a:cxnSpLocks/>
        </xdr:cNvCxnSpPr>
      </xdr:nvCxnSpPr>
      <xdr:spPr>
        <a:xfrm flipH="1" flipV="1">
          <a:off x="2878249" y="1865635"/>
          <a:ext cx="22520" cy="906139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33863</xdr:colOff>
      <xdr:row>12</xdr:row>
      <xdr:rowOff>31265</xdr:rowOff>
    </xdr:from>
    <xdr:to>
      <xdr:col>9</xdr:col>
      <xdr:colOff>48883</xdr:colOff>
      <xdr:row>18</xdr:row>
      <xdr:rowOff>28574</xdr:rowOff>
    </xdr:to>
    <xdr:cxnSp macro="">
      <xdr:nvCxnSpPr>
        <xdr:cNvPr id="103" name="Conector recto de flecha 102">
          <a:extLst>
            <a:ext uri="{FF2B5EF4-FFF2-40B4-BE49-F238E27FC236}">
              <a16:creationId xmlns:a16="http://schemas.microsoft.com/office/drawing/2014/main" id="{69E9253A-9293-486B-A46A-D8A46F4C1C26}"/>
            </a:ext>
          </a:extLst>
        </xdr:cNvPr>
        <xdr:cNvCxnSpPr>
          <a:cxnSpLocks/>
        </xdr:cNvCxnSpPr>
      </xdr:nvCxnSpPr>
      <xdr:spPr>
        <a:xfrm flipH="1" flipV="1">
          <a:off x="5091638" y="1860065"/>
          <a:ext cx="15020" cy="911709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319963</xdr:colOff>
      <xdr:row>12</xdr:row>
      <xdr:rowOff>25001</xdr:rowOff>
    </xdr:from>
    <xdr:to>
      <xdr:col>11</xdr:col>
      <xdr:colOff>319963</xdr:colOff>
      <xdr:row>18</xdr:row>
      <xdr:rowOff>28573</xdr:rowOff>
    </xdr:to>
    <xdr:cxnSp macro="">
      <xdr:nvCxnSpPr>
        <xdr:cNvPr id="104" name="Conector recto de flecha 103">
          <a:extLst>
            <a:ext uri="{FF2B5EF4-FFF2-40B4-BE49-F238E27FC236}">
              <a16:creationId xmlns:a16="http://schemas.microsoft.com/office/drawing/2014/main" id="{9B9796FB-129A-4553-ABC3-AB66E635846D}"/>
            </a:ext>
          </a:extLst>
        </xdr:cNvPr>
        <xdr:cNvCxnSpPr>
          <a:cxnSpLocks/>
        </xdr:cNvCxnSpPr>
      </xdr:nvCxnSpPr>
      <xdr:spPr>
        <a:xfrm flipV="1">
          <a:off x="6435013" y="1853801"/>
          <a:ext cx="0" cy="917972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365539</xdr:colOff>
      <xdr:row>12</xdr:row>
      <xdr:rowOff>25001</xdr:rowOff>
    </xdr:from>
    <xdr:to>
      <xdr:col>16</xdr:col>
      <xdr:colOff>365539</xdr:colOff>
      <xdr:row>18</xdr:row>
      <xdr:rowOff>28573</xdr:rowOff>
    </xdr:to>
    <xdr:cxnSp macro="">
      <xdr:nvCxnSpPr>
        <xdr:cNvPr id="105" name="Conector recto de flecha 104">
          <a:extLst>
            <a:ext uri="{FF2B5EF4-FFF2-40B4-BE49-F238E27FC236}">
              <a16:creationId xmlns:a16="http://schemas.microsoft.com/office/drawing/2014/main" id="{64E4EE3C-0742-40D8-A905-E37B34C2846E}"/>
            </a:ext>
          </a:extLst>
        </xdr:cNvPr>
        <xdr:cNvCxnSpPr>
          <a:cxnSpLocks/>
        </xdr:cNvCxnSpPr>
      </xdr:nvCxnSpPr>
      <xdr:spPr>
        <a:xfrm flipV="1">
          <a:off x="9290464" y="1853801"/>
          <a:ext cx="0" cy="917972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200235</xdr:colOff>
      <xdr:row>12</xdr:row>
      <xdr:rowOff>13747</xdr:rowOff>
    </xdr:from>
    <xdr:to>
      <xdr:col>20</xdr:col>
      <xdr:colOff>200235</xdr:colOff>
      <xdr:row>18</xdr:row>
      <xdr:rowOff>28573</xdr:rowOff>
    </xdr:to>
    <xdr:cxnSp macro="">
      <xdr:nvCxnSpPr>
        <xdr:cNvPr id="106" name="Conector recto de flecha 105">
          <a:extLst>
            <a:ext uri="{FF2B5EF4-FFF2-40B4-BE49-F238E27FC236}">
              <a16:creationId xmlns:a16="http://schemas.microsoft.com/office/drawing/2014/main" id="{782AC262-652E-4E62-9FDE-D9471F699C5F}"/>
            </a:ext>
          </a:extLst>
        </xdr:cNvPr>
        <xdr:cNvCxnSpPr>
          <a:cxnSpLocks/>
        </xdr:cNvCxnSpPr>
      </xdr:nvCxnSpPr>
      <xdr:spPr>
        <a:xfrm flipV="1">
          <a:off x="11373060" y="1842547"/>
          <a:ext cx="0" cy="929226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547569</xdr:colOff>
      <xdr:row>18</xdr:row>
      <xdr:rowOff>28573</xdr:rowOff>
    </xdr:from>
    <xdr:to>
      <xdr:col>15</xdr:col>
      <xdr:colOff>547569</xdr:colOff>
      <xdr:row>22</xdr:row>
      <xdr:rowOff>12395</xdr:rowOff>
    </xdr:to>
    <xdr:cxnSp macro="">
      <xdr:nvCxnSpPr>
        <xdr:cNvPr id="107" name="Conector recto de flecha 106">
          <a:extLst>
            <a:ext uri="{FF2B5EF4-FFF2-40B4-BE49-F238E27FC236}">
              <a16:creationId xmlns:a16="http://schemas.microsoft.com/office/drawing/2014/main" id="{29593C21-893E-48E5-BEC5-F859FA24F0F0}"/>
            </a:ext>
          </a:extLst>
        </xdr:cNvPr>
        <xdr:cNvCxnSpPr>
          <a:cxnSpLocks/>
          <a:endCxn id="16" idx="0"/>
        </xdr:cNvCxnSpPr>
      </xdr:nvCxnSpPr>
      <xdr:spPr>
        <a:xfrm>
          <a:off x="8910519" y="2771773"/>
          <a:ext cx="0" cy="593422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66340</xdr:colOff>
      <xdr:row>18</xdr:row>
      <xdr:rowOff>28574</xdr:rowOff>
    </xdr:from>
    <xdr:to>
      <xdr:col>13</xdr:col>
      <xdr:colOff>66340</xdr:colOff>
      <xdr:row>21</xdr:row>
      <xdr:rowOff>144647</xdr:rowOff>
    </xdr:to>
    <xdr:cxnSp macro="">
      <xdr:nvCxnSpPr>
        <xdr:cNvPr id="108" name="Conector recto de flecha 107">
          <a:extLst>
            <a:ext uri="{FF2B5EF4-FFF2-40B4-BE49-F238E27FC236}">
              <a16:creationId xmlns:a16="http://schemas.microsoft.com/office/drawing/2014/main" id="{809567B3-4A57-4DEA-A34B-3131879B4388}"/>
            </a:ext>
          </a:extLst>
        </xdr:cNvPr>
        <xdr:cNvCxnSpPr>
          <a:cxnSpLocks/>
        </xdr:cNvCxnSpPr>
      </xdr:nvCxnSpPr>
      <xdr:spPr>
        <a:xfrm>
          <a:off x="7305340" y="2771774"/>
          <a:ext cx="0" cy="573273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357889</xdr:colOff>
      <xdr:row>18</xdr:row>
      <xdr:rowOff>28574</xdr:rowOff>
    </xdr:from>
    <xdr:to>
      <xdr:col>7</xdr:col>
      <xdr:colOff>357889</xdr:colOff>
      <xdr:row>21</xdr:row>
      <xdr:rowOff>144647</xdr:rowOff>
    </xdr:to>
    <xdr:cxnSp macro="">
      <xdr:nvCxnSpPr>
        <xdr:cNvPr id="109" name="Conector recto de flecha 108">
          <a:extLst>
            <a:ext uri="{FF2B5EF4-FFF2-40B4-BE49-F238E27FC236}">
              <a16:creationId xmlns:a16="http://schemas.microsoft.com/office/drawing/2014/main" id="{7AD38D16-DF0A-4A21-B3BC-5043047F799B}"/>
            </a:ext>
          </a:extLst>
        </xdr:cNvPr>
        <xdr:cNvCxnSpPr>
          <a:cxnSpLocks/>
        </xdr:cNvCxnSpPr>
      </xdr:nvCxnSpPr>
      <xdr:spPr>
        <a:xfrm>
          <a:off x="4291714" y="2771774"/>
          <a:ext cx="0" cy="573273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248563</xdr:colOff>
      <xdr:row>18</xdr:row>
      <xdr:rowOff>28574</xdr:rowOff>
    </xdr:from>
    <xdr:to>
      <xdr:col>21</xdr:col>
      <xdr:colOff>258426</xdr:colOff>
      <xdr:row>21</xdr:row>
      <xdr:rowOff>144647</xdr:rowOff>
    </xdr:to>
    <xdr:cxnSp macro="">
      <xdr:nvCxnSpPr>
        <xdr:cNvPr id="110" name="Conector recto de flecha 109">
          <a:extLst>
            <a:ext uri="{FF2B5EF4-FFF2-40B4-BE49-F238E27FC236}">
              <a16:creationId xmlns:a16="http://schemas.microsoft.com/office/drawing/2014/main" id="{239B9A76-C921-4C51-B956-BFF359A90F4A}"/>
            </a:ext>
          </a:extLst>
        </xdr:cNvPr>
        <xdr:cNvCxnSpPr>
          <a:cxnSpLocks/>
        </xdr:cNvCxnSpPr>
      </xdr:nvCxnSpPr>
      <xdr:spPr>
        <a:xfrm flipV="1">
          <a:off x="11983363" y="2771774"/>
          <a:ext cx="9863" cy="573273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182691</xdr:colOff>
      <xdr:row>25</xdr:row>
      <xdr:rowOff>92965</xdr:rowOff>
    </xdr:from>
    <xdr:to>
      <xdr:col>8</xdr:col>
      <xdr:colOff>194621</xdr:colOff>
      <xdr:row>33</xdr:row>
      <xdr:rowOff>25501</xdr:rowOff>
    </xdr:to>
    <xdr:cxnSp macro="">
      <xdr:nvCxnSpPr>
        <xdr:cNvPr id="111" name="Conector recto de flecha 110">
          <a:extLst>
            <a:ext uri="{FF2B5EF4-FFF2-40B4-BE49-F238E27FC236}">
              <a16:creationId xmlns:a16="http://schemas.microsoft.com/office/drawing/2014/main" id="{BB63D02A-6BA9-4501-891C-8510EDF0942B}"/>
            </a:ext>
          </a:extLst>
        </xdr:cNvPr>
        <xdr:cNvCxnSpPr>
          <a:cxnSpLocks/>
          <a:endCxn id="164" idx="0"/>
        </xdr:cNvCxnSpPr>
      </xdr:nvCxnSpPr>
      <xdr:spPr>
        <a:xfrm flipH="1">
          <a:off x="4678491" y="3902965"/>
          <a:ext cx="11930" cy="1151736"/>
        </a:xfrm>
        <a:prstGeom prst="straightConnector1">
          <a:avLst/>
        </a:prstGeom>
        <a:ln w="190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413157</xdr:colOff>
      <xdr:row>18</xdr:row>
      <xdr:rowOff>28572</xdr:rowOff>
    </xdr:from>
    <xdr:to>
      <xdr:col>3</xdr:col>
      <xdr:colOff>413157</xdr:colOff>
      <xdr:row>28</xdr:row>
      <xdr:rowOff>114484</xdr:rowOff>
    </xdr:to>
    <xdr:cxnSp macro="">
      <xdr:nvCxnSpPr>
        <xdr:cNvPr id="112" name="Conector recto de flecha 111">
          <a:extLst>
            <a:ext uri="{FF2B5EF4-FFF2-40B4-BE49-F238E27FC236}">
              <a16:creationId xmlns:a16="http://schemas.microsoft.com/office/drawing/2014/main" id="{47988B53-5973-4F50-9A6A-B75C8B7FD2BE}"/>
            </a:ext>
          </a:extLst>
        </xdr:cNvPr>
        <xdr:cNvCxnSpPr>
          <a:cxnSpLocks/>
        </xdr:cNvCxnSpPr>
      </xdr:nvCxnSpPr>
      <xdr:spPr>
        <a:xfrm>
          <a:off x="2099082" y="2771772"/>
          <a:ext cx="0" cy="1609912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316984</xdr:colOff>
      <xdr:row>22</xdr:row>
      <xdr:rowOff>139123</xdr:rowOff>
    </xdr:from>
    <xdr:to>
      <xdr:col>36</xdr:col>
      <xdr:colOff>316984</xdr:colOff>
      <xdr:row>56</xdr:row>
      <xdr:rowOff>45620</xdr:rowOff>
    </xdr:to>
    <xdr:cxnSp macro="">
      <xdr:nvCxnSpPr>
        <xdr:cNvPr id="113" name="Conector recto 112">
          <a:extLst>
            <a:ext uri="{FF2B5EF4-FFF2-40B4-BE49-F238E27FC236}">
              <a16:creationId xmlns:a16="http://schemas.microsoft.com/office/drawing/2014/main" id="{BFBE34E0-DA8C-4F43-A11A-199EA18E47C3}"/>
            </a:ext>
          </a:extLst>
        </xdr:cNvPr>
        <xdr:cNvCxnSpPr>
          <a:cxnSpLocks/>
        </xdr:cNvCxnSpPr>
      </xdr:nvCxnSpPr>
      <xdr:spPr>
        <a:xfrm>
          <a:off x="20481409" y="3491923"/>
          <a:ext cx="0" cy="5107147"/>
        </a:xfrm>
        <a:prstGeom prst="line">
          <a:avLst/>
        </a:prstGeom>
        <a:ln w="28575"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316986</xdr:colOff>
      <xdr:row>34</xdr:row>
      <xdr:rowOff>110432</xdr:rowOff>
    </xdr:from>
    <xdr:to>
      <xdr:col>37</xdr:col>
      <xdr:colOff>459253</xdr:colOff>
      <xdr:row>34</xdr:row>
      <xdr:rowOff>110432</xdr:rowOff>
    </xdr:to>
    <xdr:cxnSp macro="">
      <xdr:nvCxnSpPr>
        <xdr:cNvPr id="114" name="Conector recto de flecha 113">
          <a:extLst>
            <a:ext uri="{FF2B5EF4-FFF2-40B4-BE49-F238E27FC236}">
              <a16:creationId xmlns:a16="http://schemas.microsoft.com/office/drawing/2014/main" id="{575B470F-3ECA-40EC-A124-80BFFAE19920}"/>
            </a:ext>
          </a:extLst>
        </xdr:cNvPr>
        <xdr:cNvCxnSpPr>
          <a:cxnSpLocks/>
        </xdr:cNvCxnSpPr>
      </xdr:nvCxnSpPr>
      <xdr:spPr>
        <a:xfrm>
          <a:off x="20481411" y="5292032"/>
          <a:ext cx="704242" cy="0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316986</xdr:colOff>
      <xdr:row>41</xdr:row>
      <xdr:rowOff>121464</xdr:rowOff>
    </xdr:from>
    <xdr:to>
      <xdr:col>37</xdr:col>
      <xdr:colOff>459253</xdr:colOff>
      <xdr:row>41</xdr:row>
      <xdr:rowOff>121464</xdr:rowOff>
    </xdr:to>
    <xdr:cxnSp macro="">
      <xdr:nvCxnSpPr>
        <xdr:cNvPr id="115" name="Conector recto de flecha 114">
          <a:extLst>
            <a:ext uri="{FF2B5EF4-FFF2-40B4-BE49-F238E27FC236}">
              <a16:creationId xmlns:a16="http://schemas.microsoft.com/office/drawing/2014/main" id="{F5E33C01-CB3B-4881-93E6-79088C3945C9}"/>
            </a:ext>
          </a:extLst>
        </xdr:cNvPr>
        <xdr:cNvCxnSpPr>
          <a:cxnSpLocks/>
        </xdr:cNvCxnSpPr>
      </xdr:nvCxnSpPr>
      <xdr:spPr>
        <a:xfrm>
          <a:off x="20481411" y="6369864"/>
          <a:ext cx="704242" cy="0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419861</xdr:colOff>
      <xdr:row>32</xdr:row>
      <xdr:rowOff>44551</xdr:rowOff>
    </xdr:from>
    <xdr:to>
      <xdr:col>38</xdr:col>
      <xdr:colOff>2328</xdr:colOff>
      <xdr:row>34</xdr:row>
      <xdr:rowOff>6729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CuadroTexto 359">
              <a:extLst>
                <a:ext uri="{FF2B5EF4-FFF2-40B4-BE49-F238E27FC236}">
                  <a16:creationId xmlns:a16="http://schemas.microsoft.com/office/drawing/2014/main" id="{80EC4C66-BB2C-43B2-AA65-2644A16199FB}"/>
                </a:ext>
              </a:extLst>
            </xdr:cNvPr>
            <xdr:cNvSpPr txBox="1"/>
          </xdr:nvSpPr>
          <xdr:spPr>
            <a:xfrm>
              <a:off x="20584286" y="4921351"/>
              <a:ext cx="706417" cy="266978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</m:acc>
                      </m:e>
                      <m:sub>
                        <m:r>
                          <a:rPr lang="es-CO" sz="1100" i="1">
                            <a:latin typeface="Cambria Math" panose="02040503050406030204" pitchFamily="18" charset="0"/>
                          </a:rPr>
                          <m:t>𝑃𝑏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6" name="CuadroTexto 359">
              <a:extLst>
                <a:ext uri="{FF2B5EF4-FFF2-40B4-BE49-F238E27FC236}">
                  <a16:creationId xmlns:a16="http://schemas.microsoft.com/office/drawing/2014/main" id="{80EC4C66-BB2C-43B2-AA65-2644A16199FB}"/>
                </a:ext>
              </a:extLst>
            </xdr:cNvPr>
            <xdr:cNvSpPr txBox="1"/>
          </xdr:nvSpPr>
          <xdr:spPr>
            <a:xfrm>
              <a:off x="20584286" y="4921351"/>
              <a:ext cx="706417" cy="266978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100" i="0">
                  <a:latin typeface="Cambria Math" panose="02040503050406030204" pitchFamily="18" charset="0"/>
                </a:rPr>
                <a:t>𝑊</a:t>
              </a:r>
              <a:r>
                <a:rPr lang="en-US" sz="1100" i="0">
                  <a:latin typeface="Cambria Math" panose="02040503050406030204" pitchFamily="18" charset="0"/>
                </a:rPr>
                <a:t> ̇_</a:t>
              </a:r>
              <a:r>
                <a:rPr lang="es-CO" sz="1100" i="0">
                  <a:latin typeface="Cambria Math" panose="02040503050406030204" pitchFamily="18" charset="0"/>
                </a:rPr>
                <a:t>𝑃𝑏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36</xdr:col>
      <xdr:colOff>437357</xdr:colOff>
      <xdr:row>42</xdr:row>
      <xdr:rowOff>18793</xdr:rowOff>
    </xdr:from>
    <xdr:to>
      <xdr:col>38</xdr:col>
      <xdr:colOff>19824</xdr:colOff>
      <xdr:row>43</xdr:row>
      <xdr:rowOff>136833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CuadroTexto 360">
              <a:extLst>
                <a:ext uri="{FF2B5EF4-FFF2-40B4-BE49-F238E27FC236}">
                  <a16:creationId xmlns:a16="http://schemas.microsoft.com/office/drawing/2014/main" id="{65962EF8-5155-40ED-B454-1A9FB48CE9AD}"/>
                </a:ext>
              </a:extLst>
            </xdr:cNvPr>
            <xdr:cNvSpPr txBox="1"/>
          </xdr:nvSpPr>
          <xdr:spPr>
            <a:xfrm>
              <a:off x="20601782" y="6419593"/>
              <a:ext cx="706417" cy="27044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</m:acc>
                      </m:e>
                      <m:sub>
                        <m:r>
                          <a:rPr lang="es-CO" sz="1100" i="1">
                            <a:latin typeface="Cambria Math" panose="02040503050406030204" pitchFamily="18" charset="0"/>
                          </a:rPr>
                          <m:t>𝐺𝑟𝑖𝑑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7" name="CuadroTexto 360">
              <a:extLst>
                <a:ext uri="{FF2B5EF4-FFF2-40B4-BE49-F238E27FC236}">
                  <a16:creationId xmlns:a16="http://schemas.microsoft.com/office/drawing/2014/main" id="{65962EF8-5155-40ED-B454-1A9FB48CE9AD}"/>
                </a:ext>
              </a:extLst>
            </xdr:cNvPr>
            <xdr:cNvSpPr txBox="1"/>
          </xdr:nvSpPr>
          <xdr:spPr>
            <a:xfrm>
              <a:off x="20601782" y="6419593"/>
              <a:ext cx="706417" cy="27044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100" i="0">
                  <a:latin typeface="Cambria Math" panose="02040503050406030204" pitchFamily="18" charset="0"/>
                </a:rPr>
                <a:t>𝑊</a:t>
              </a:r>
              <a:r>
                <a:rPr lang="en-US" sz="1100" i="0">
                  <a:latin typeface="Cambria Math" panose="02040503050406030204" pitchFamily="18" charset="0"/>
                </a:rPr>
                <a:t> ̇_</a:t>
              </a:r>
              <a:r>
                <a:rPr lang="es-CO" sz="1100" i="0">
                  <a:latin typeface="Cambria Math" panose="02040503050406030204" pitchFamily="18" charset="0"/>
                </a:rPr>
                <a:t>𝐺𝑟𝑖𝑑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8</xdr:col>
      <xdr:colOff>153766</xdr:colOff>
      <xdr:row>28</xdr:row>
      <xdr:rowOff>7942</xdr:rowOff>
    </xdr:from>
    <xdr:to>
      <xdr:col>9</xdr:col>
      <xdr:colOff>307733</xdr:colOff>
      <xdr:row>29</xdr:row>
      <xdr:rowOff>117057</xdr:rowOff>
    </xdr:to>
    <xdr:sp macro="" textlink="">
      <xdr:nvSpPr>
        <xdr:cNvPr id="118" name="CuadroTexto 361">
          <a:extLst>
            <a:ext uri="{FF2B5EF4-FFF2-40B4-BE49-F238E27FC236}">
              <a16:creationId xmlns:a16="http://schemas.microsoft.com/office/drawing/2014/main" id="{3DE80B54-0044-40C0-B4CF-AB7F62C4BED6}"/>
            </a:ext>
          </a:extLst>
        </xdr:cNvPr>
        <xdr:cNvSpPr txBox="1"/>
      </xdr:nvSpPr>
      <xdr:spPr>
        <a:xfrm>
          <a:off x="4649566" y="4275142"/>
          <a:ext cx="715942" cy="26151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EFB</a:t>
          </a:r>
        </a:p>
        <a:p>
          <a:pPr algn="ctr"/>
          <a:r>
            <a:rPr lang="en-US" sz="1100"/>
            <a:t>Pressed</a:t>
          </a:r>
        </a:p>
      </xdr:txBody>
    </xdr:sp>
    <xdr:clientData/>
  </xdr:twoCellAnchor>
  <xdr:twoCellAnchor>
    <xdr:from>
      <xdr:col>15</xdr:col>
      <xdr:colOff>21089</xdr:colOff>
      <xdr:row>26</xdr:row>
      <xdr:rowOff>134959</xdr:rowOff>
    </xdr:from>
    <xdr:to>
      <xdr:col>15</xdr:col>
      <xdr:colOff>513575</xdr:colOff>
      <xdr:row>28</xdr:row>
      <xdr:rowOff>45347</xdr:rowOff>
    </xdr:to>
    <xdr:sp macro="" textlink="">
      <xdr:nvSpPr>
        <xdr:cNvPr id="119" name="CuadroTexto 364">
          <a:extLst>
            <a:ext uri="{FF2B5EF4-FFF2-40B4-BE49-F238E27FC236}">
              <a16:creationId xmlns:a16="http://schemas.microsoft.com/office/drawing/2014/main" id="{92748027-21E3-46EE-B0F9-F0EBB253B368}"/>
            </a:ext>
          </a:extLst>
        </xdr:cNvPr>
        <xdr:cNvSpPr txBox="1"/>
      </xdr:nvSpPr>
      <xdr:spPr>
        <a:xfrm>
          <a:off x="8384039" y="4097359"/>
          <a:ext cx="492486" cy="21518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PKS</a:t>
          </a:r>
        </a:p>
      </xdr:txBody>
    </xdr:sp>
    <xdr:clientData/>
  </xdr:twoCellAnchor>
  <xdr:twoCellAnchor>
    <xdr:from>
      <xdr:col>20</xdr:col>
      <xdr:colOff>384706</xdr:colOff>
      <xdr:row>9</xdr:row>
      <xdr:rowOff>62154</xdr:rowOff>
    </xdr:from>
    <xdr:to>
      <xdr:col>21</xdr:col>
      <xdr:colOff>353018</xdr:colOff>
      <xdr:row>9</xdr:row>
      <xdr:rowOff>62275</xdr:rowOff>
    </xdr:to>
    <xdr:cxnSp macro="">
      <xdr:nvCxnSpPr>
        <xdr:cNvPr id="120" name="Conector recto de flecha 119">
          <a:extLst>
            <a:ext uri="{FF2B5EF4-FFF2-40B4-BE49-F238E27FC236}">
              <a16:creationId xmlns:a16="http://schemas.microsoft.com/office/drawing/2014/main" id="{A16EFC7F-FBF2-462B-904E-76FD8CF51AC0}"/>
            </a:ext>
          </a:extLst>
        </xdr:cNvPr>
        <xdr:cNvCxnSpPr>
          <a:cxnSpLocks/>
        </xdr:cNvCxnSpPr>
      </xdr:nvCxnSpPr>
      <xdr:spPr>
        <a:xfrm flipV="1">
          <a:off x="11557531" y="1433754"/>
          <a:ext cx="530287" cy="121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384706</xdr:colOff>
      <xdr:row>11</xdr:row>
      <xdr:rowOff>62319</xdr:rowOff>
    </xdr:from>
    <xdr:to>
      <xdr:col>21</xdr:col>
      <xdr:colOff>353018</xdr:colOff>
      <xdr:row>11</xdr:row>
      <xdr:rowOff>62440</xdr:rowOff>
    </xdr:to>
    <xdr:cxnSp macro="">
      <xdr:nvCxnSpPr>
        <xdr:cNvPr id="121" name="Conector recto de flecha 120">
          <a:extLst>
            <a:ext uri="{FF2B5EF4-FFF2-40B4-BE49-F238E27FC236}">
              <a16:creationId xmlns:a16="http://schemas.microsoft.com/office/drawing/2014/main" id="{61DD3D6C-2C2B-4DB8-89B9-44333F56045B}"/>
            </a:ext>
          </a:extLst>
        </xdr:cNvPr>
        <xdr:cNvCxnSpPr>
          <a:cxnSpLocks/>
        </xdr:cNvCxnSpPr>
      </xdr:nvCxnSpPr>
      <xdr:spPr>
        <a:xfrm flipV="1">
          <a:off x="11557531" y="1738719"/>
          <a:ext cx="530287" cy="121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200938</xdr:colOff>
      <xdr:row>8</xdr:row>
      <xdr:rowOff>75990</xdr:rowOff>
    </xdr:from>
    <xdr:to>
      <xdr:col>22</xdr:col>
      <xdr:colOff>354905</xdr:colOff>
      <xdr:row>10</xdr:row>
      <xdr:rowOff>32705</xdr:rowOff>
    </xdr:to>
    <xdr:sp macro="" textlink="">
      <xdr:nvSpPr>
        <xdr:cNvPr id="122" name="CuadroTexto 368">
          <a:extLst>
            <a:ext uri="{FF2B5EF4-FFF2-40B4-BE49-F238E27FC236}">
              <a16:creationId xmlns:a16="http://schemas.microsoft.com/office/drawing/2014/main" id="{924A8E6A-DE3C-45C3-9577-57BE75B1D7D9}"/>
            </a:ext>
          </a:extLst>
        </xdr:cNvPr>
        <xdr:cNvSpPr txBox="1"/>
      </xdr:nvSpPr>
      <xdr:spPr>
        <a:xfrm>
          <a:off x="11935738" y="1295190"/>
          <a:ext cx="715942" cy="26151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CPO</a:t>
          </a:r>
        </a:p>
      </xdr:txBody>
    </xdr:sp>
    <xdr:clientData/>
  </xdr:twoCellAnchor>
  <xdr:twoCellAnchor>
    <xdr:from>
      <xdr:col>21</xdr:col>
      <xdr:colOff>204306</xdr:colOff>
      <xdr:row>10</xdr:row>
      <xdr:rowOff>85031</xdr:rowOff>
    </xdr:from>
    <xdr:to>
      <xdr:col>22</xdr:col>
      <xdr:colOff>358273</xdr:colOff>
      <xdr:row>12</xdr:row>
      <xdr:rowOff>41745</xdr:rowOff>
    </xdr:to>
    <xdr:sp macro="" textlink="">
      <xdr:nvSpPr>
        <xdr:cNvPr id="123" name="CuadroTexto 369">
          <a:extLst>
            <a:ext uri="{FF2B5EF4-FFF2-40B4-BE49-F238E27FC236}">
              <a16:creationId xmlns:a16="http://schemas.microsoft.com/office/drawing/2014/main" id="{B5A62AFB-6465-4233-B988-F82D8F8928A9}"/>
            </a:ext>
          </a:extLst>
        </xdr:cNvPr>
        <xdr:cNvSpPr txBox="1"/>
      </xdr:nvSpPr>
      <xdr:spPr>
        <a:xfrm>
          <a:off x="11939106" y="1609031"/>
          <a:ext cx="715942" cy="26151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KPO</a:t>
          </a:r>
        </a:p>
      </xdr:txBody>
    </xdr:sp>
    <xdr:clientData/>
  </xdr:twoCellAnchor>
  <xdr:twoCellAnchor>
    <xdr:from>
      <xdr:col>19</xdr:col>
      <xdr:colOff>426571</xdr:colOff>
      <xdr:row>25</xdr:row>
      <xdr:rowOff>102488</xdr:rowOff>
    </xdr:from>
    <xdr:to>
      <xdr:col>19</xdr:col>
      <xdr:colOff>426571</xdr:colOff>
      <xdr:row>27</xdr:row>
      <xdr:rowOff>87602</xdr:rowOff>
    </xdr:to>
    <xdr:cxnSp macro="">
      <xdr:nvCxnSpPr>
        <xdr:cNvPr id="124" name="Conector recto de flecha 123">
          <a:extLst>
            <a:ext uri="{FF2B5EF4-FFF2-40B4-BE49-F238E27FC236}">
              <a16:creationId xmlns:a16="http://schemas.microsoft.com/office/drawing/2014/main" id="{4141C7A1-3849-4DD6-BCB2-A6829321F940}"/>
            </a:ext>
          </a:extLst>
        </xdr:cNvPr>
        <xdr:cNvCxnSpPr>
          <a:cxnSpLocks/>
        </xdr:cNvCxnSpPr>
      </xdr:nvCxnSpPr>
      <xdr:spPr>
        <a:xfrm>
          <a:off x="11037421" y="3912488"/>
          <a:ext cx="0" cy="289914"/>
        </a:xfrm>
        <a:prstGeom prst="straightConnector1">
          <a:avLst/>
        </a:prstGeom>
        <a:ln w="190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116108</xdr:colOff>
      <xdr:row>28</xdr:row>
      <xdr:rowOff>121456</xdr:rowOff>
    </xdr:from>
    <xdr:to>
      <xdr:col>20</xdr:col>
      <xdr:colOff>270075</xdr:colOff>
      <xdr:row>31</xdr:row>
      <xdr:rowOff>96006</xdr:rowOff>
    </xdr:to>
    <xdr:sp macro="" textlink="">
      <xdr:nvSpPr>
        <xdr:cNvPr id="125" name="CuadroTexto 371">
          <a:extLst>
            <a:ext uri="{FF2B5EF4-FFF2-40B4-BE49-F238E27FC236}">
              <a16:creationId xmlns:a16="http://schemas.microsoft.com/office/drawing/2014/main" id="{EA1542E6-1DD3-4B0E-B0B1-7B4EC89B50CA}"/>
            </a:ext>
          </a:extLst>
        </xdr:cNvPr>
        <xdr:cNvSpPr txBox="1"/>
      </xdr:nvSpPr>
      <xdr:spPr>
        <a:xfrm>
          <a:off x="10726958" y="4388656"/>
          <a:ext cx="715942" cy="4317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Kernel cake</a:t>
          </a:r>
        </a:p>
      </xdr:txBody>
    </xdr:sp>
    <xdr:clientData/>
  </xdr:twoCellAnchor>
  <xdr:twoCellAnchor>
    <xdr:from>
      <xdr:col>32</xdr:col>
      <xdr:colOff>371564</xdr:colOff>
      <xdr:row>20</xdr:row>
      <xdr:rowOff>11253</xdr:rowOff>
    </xdr:from>
    <xdr:to>
      <xdr:col>34</xdr:col>
      <xdr:colOff>260882</xdr:colOff>
      <xdr:row>20</xdr:row>
      <xdr:rowOff>11253</xdr:rowOff>
    </xdr:to>
    <xdr:cxnSp macro="">
      <xdr:nvCxnSpPr>
        <xdr:cNvPr id="126" name="Conector recto de flecha 125">
          <a:extLst>
            <a:ext uri="{FF2B5EF4-FFF2-40B4-BE49-F238E27FC236}">
              <a16:creationId xmlns:a16="http://schemas.microsoft.com/office/drawing/2014/main" id="{57EA21E5-F9BC-406D-B6FC-0D36E7D85242}"/>
            </a:ext>
          </a:extLst>
        </xdr:cNvPr>
        <xdr:cNvCxnSpPr/>
      </xdr:nvCxnSpPr>
      <xdr:spPr>
        <a:xfrm>
          <a:off x="18288089" y="3059253"/>
          <a:ext cx="1013268" cy="0"/>
        </a:xfrm>
        <a:prstGeom prst="straightConnector1">
          <a:avLst/>
        </a:prstGeom>
        <a:ln w="190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179810</xdr:colOff>
      <xdr:row>17</xdr:row>
      <xdr:rowOff>82801</xdr:rowOff>
    </xdr:from>
    <xdr:to>
      <xdr:col>34</xdr:col>
      <xdr:colOff>522826</xdr:colOff>
      <xdr:row>19</xdr:row>
      <xdr:rowOff>23725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CuadroTexto 3">
              <a:extLst>
                <a:ext uri="{FF2B5EF4-FFF2-40B4-BE49-F238E27FC236}">
                  <a16:creationId xmlns:a16="http://schemas.microsoft.com/office/drawing/2014/main" id="{2CBB5925-50DD-4E76-9457-F088340C43E2}"/>
                </a:ext>
              </a:extLst>
            </xdr:cNvPr>
            <xdr:cNvSpPr txBox="1"/>
          </xdr:nvSpPr>
          <xdr:spPr>
            <a:xfrm flipH="1">
              <a:off x="18658310" y="2673601"/>
              <a:ext cx="904991" cy="24572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00" i="1">
                        <a:latin typeface="Cambria Math" panose="02040503050406030204" pitchFamily="18" charset="0"/>
                      </a:rPr>
                      <m:t>𝐸𝑥h𝑎𝑢𝑠𝑡</m:t>
                    </m:r>
                    <m:r>
                      <a:rPr lang="es-CO" sz="100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CO" sz="1000" i="1">
                        <a:latin typeface="Cambria Math" panose="02040503050406030204" pitchFamily="18" charset="0"/>
                      </a:rPr>
                      <m:t>𝑔𝑎𝑠</m:t>
                    </m:r>
                  </m:oMath>
                </m:oMathPara>
              </a14:m>
              <a:endParaRPr lang="en-US" sz="1000"/>
            </a:p>
          </xdr:txBody>
        </xdr:sp>
      </mc:Choice>
      <mc:Fallback xmlns="">
        <xdr:sp macro="" textlink="">
          <xdr:nvSpPr>
            <xdr:cNvPr id="127" name="CuadroTexto 3">
              <a:extLst>
                <a:ext uri="{FF2B5EF4-FFF2-40B4-BE49-F238E27FC236}">
                  <a16:creationId xmlns:a16="http://schemas.microsoft.com/office/drawing/2014/main" id="{2CBB5925-50DD-4E76-9457-F088340C43E2}"/>
                </a:ext>
              </a:extLst>
            </xdr:cNvPr>
            <xdr:cNvSpPr txBox="1"/>
          </xdr:nvSpPr>
          <xdr:spPr>
            <a:xfrm flipH="1">
              <a:off x="18658310" y="2673601"/>
              <a:ext cx="904991" cy="24572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000" i="0">
                  <a:latin typeface="Cambria Math" panose="02040503050406030204" pitchFamily="18" charset="0"/>
                </a:rPr>
                <a:t>𝐸𝑥ℎ𝑎𝑢𝑠𝑡 𝑔𝑎𝑠</a:t>
              </a:r>
              <a:endParaRPr lang="en-US" sz="1000"/>
            </a:p>
          </xdr:txBody>
        </xdr:sp>
      </mc:Fallback>
    </mc:AlternateContent>
    <xdr:clientData/>
  </xdr:twoCellAnchor>
  <xdr:twoCellAnchor>
    <xdr:from>
      <xdr:col>35</xdr:col>
      <xdr:colOff>162996</xdr:colOff>
      <xdr:row>38</xdr:row>
      <xdr:rowOff>45143</xdr:rowOff>
    </xdr:from>
    <xdr:to>
      <xdr:col>36</xdr:col>
      <xdr:colOff>305263</xdr:colOff>
      <xdr:row>38</xdr:row>
      <xdr:rowOff>45143</xdr:rowOff>
    </xdr:to>
    <xdr:cxnSp macro="">
      <xdr:nvCxnSpPr>
        <xdr:cNvPr id="128" name="Conector recto de flecha 127">
          <a:extLst>
            <a:ext uri="{FF2B5EF4-FFF2-40B4-BE49-F238E27FC236}">
              <a16:creationId xmlns:a16="http://schemas.microsoft.com/office/drawing/2014/main" id="{AEE05E32-3D3C-4095-B23C-9531AD1875E0}"/>
            </a:ext>
          </a:extLst>
        </xdr:cNvPr>
        <xdr:cNvCxnSpPr>
          <a:cxnSpLocks/>
        </xdr:cNvCxnSpPr>
      </xdr:nvCxnSpPr>
      <xdr:spPr>
        <a:xfrm>
          <a:off x="19765446" y="5836343"/>
          <a:ext cx="704242" cy="0"/>
        </a:xfrm>
        <a:prstGeom prst="straightConnector1">
          <a:avLst/>
        </a:prstGeom>
        <a:ln w="19050" cmpd="thickThin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78539</xdr:colOff>
      <xdr:row>36</xdr:row>
      <xdr:rowOff>38276</xdr:rowOff>
    </xdr:from>
    <xdr:to>
      <xdr:col>36</xdr:col>
      <xdr:colOff>232506</xdr:colOff>
      <xdr:row>37</xdr:row>
      <xdr:rowOff>154311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CuadroTexto 360">
              <a:extLst>
                <a:ext uri="{FF2B5EF4-FFF2-40B4-BE49-F238E27FC236}">
                  <a16:creationId xmlns:a16="http://schemas.microsoft.com/office/drawing/2014/main" id="{B88C4651-137A-4531-A9D2-E112B8004414}"/>
                </a:ext>
              </a:extLst>
            </xdr:cNvPr>
            <xdr:cNvSpPr txBox="1"/>
          </xdr:nvSpPr>
          <xdr:spPr>
            <a:xfrm>
              <a:off x="19680989" y="5524676"/>
              <a:ext cx="715942" cy="268435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𝑑𝑖𝑒𝑠𝑒𝑙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9" name="CuadroTexto 360">
              <a:extLst>
                <a:ext uri="{FF2B5EF4-FFF2-40B4-BE49-F238E27FC236}">
                  <a16:creationId xmlns:a16="http://schemas.microsoft.com/office/drawing/2014/main" id="{B88C4651-137A-4531-A9D2-E112B8004414}"/>
                </a:ext>
              </a:extLst>
            </xdr:cNvPr>
            <xdr:cNvSpPr txBox="1"/>
          </xdr:nvSpPr>
          <xdr:spPr>
            <a:xfrm>
              <a:off x="19680989" y="5524676"/>
              <a:ext cx="715942" cy="268435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100" i="0">
                  <a:latin typeface="Cambria Math" panose="02040503050406030204" pitchFamily="18" charset="0"/>
                </a:rPr>
                <a:t>𝑊</a:t>
              </a:r>
              <a:r>
                <a:rPr lang="en-US" sz="1100" i="0">
                  <a:latin typeface="Cambria Math" panose="02040503050406030204" pitchFamily="18" charset="0"/>
                </a:rPr>
                <a:t> ̇_</a:t>
              </a:r>
              <a:r>
                <a:rPr lang="en-US" sz="1100" b="0" i="0">
                  <a:latin typeface="Cambria Math" panose="02040503050406030204" pitchFamily="18" charset="0"/>
                </a:rPr>
                <a:t>𝑑𝑖𝑒𝑠𝑒𝑙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9</xdr:col>
      <xdr:colOff>249765</xdr:colOff>
      <xdr:row>24</xdr:row>
      <xdr:rowOff>13576</xdr:rowOff>
    </xdr:from>
    <xdr:to>
      <xdr:col>11</xdr:col>
      <xdr:colOff>114874</xdr:colOff>
      <xdr:row>25</xdr:row>
      <xdr:rowOff>126155</xdr:rowOff>
    </xdr:to>
    <xdr:sp macro="" textlink="">
      <xdr:nvSpPr>
        <xdr:cNvPr id="130" name="CuadroTexto 361">
          <a:extLst>
            <a:ext uri="{FF2B5EF4-FFF2-40B4-BE49-F238E27FC236}">
              <a16:creationId xmlns:a16="http://schemas.microsoft.com/office/drawing/2014/main" id="{97B720B2-7B12-4CBB-B716-6175135DA9B0}"/>
            </a:ext>
          </a:extLst>
        </xdr:cNvPr>
        <xdr:cNvSpPr txBox="1"/>
      </xdr:nvSpPr>
      <xdr:spPr>
        <a:xfrm>
          <a:off x="5307540" y="3671176"/>
          <a:ext cx="922384" cy="2649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To </a:t>
          </a:r>
        </a:p>
        <a:p>
          <a:pPr algn="ctr"/>
          <a:r>
            <a:rPr lang="en-US" sz="1100"/>
            <a:t>clarification</a:t>
          </a:r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371478</xdr:colOff>
      <xdr:row>25</xdr:row>
      <xdr:rowOff>95250</xdr:rowOff>
    </xdr:from>
    <xdr:to>
      <xdr:col>23</xdr:col>
      <xdr:colOff>552451</xdr:colOff>
      <xdr:row>34</xdr:row>
      <xdr:rowOff>19050</xdr:rowOff>
    </xdr:to>
    <xdr:cxnSp macro="">
      <xdr:nvCxnSpPr>
        <xdr:cNvPr id="131" name="Conector: angular 130">
          <a:extLst>
            <a:ext uri="{FF2B5EF4-FFF2-40B4-BE49-F238E27FC236}">
              <a16:creationId xmlns:a16="http://schemas.microsoft.com/office/drawing/2014/main" id="{536A74A2-2C9F-4CEB-BC53-6197C7061777}"/>
            </a:ext>
          </a:extLst>
        </xdr:cNvPr>
        <xdr:cNvCxnSpPr/>
      </xdr:nvCxnSpPr>
      <xdr:spPr>
        <a:xfrm rot="10800000">
          <a:off x="9296403" y="3905250"/>
          <a:ext cx="4114798" cy="1295400"/>
        </a:xfrm>
        <a:prstGeom prst="bentConnector3">
          <a:avLst>
            <a:gd name="adj1" fmla="val 99886"/>
          </a:avLst>
        </a:prstGeom>
        <a:ln>
          <a:headEnd type="none" w="med" len="med"/>
          <a:tailEnd type="triangle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25</xdr:row>
      <xdr:rowOff>99028</xdr:rowOff>
    </xdr:from>
    <xdr:to>
      <xdr:col>12</xdr:col>
      <xdr:colOff>154041</xdr:colOff>
      <xdr:row>28</xdr:row>
      <xdr:rowOff>66675</xdr:rowOff>
    </xdr:to>
    <xdr:cxnSp macro="">
      <xdr:nvCxnSpPr>
        <xdr:cNvPr id="132" name="Conector recto de flecha 131">
          <a:extLst>
            <a:ext uri="{FF2B5EF4-FFF2-40B4-BE49-F238E27FC236}">
              <a16:creationId xmlns:a16="http://schemas.microsoft.com/office/drawing/2014/main" id="{11144970-8D41-4436-8F60-7DAF54867B0D}"/>
            </a:ext>
          </a:extLst>
        </xdr:cNvPr>
        <xdr:cNvCxnSpPr>
          <a:cxnSpLocks/>
          <a:stCxn id="6" idx="2"/>
        </xdr:cNvCxnSpPr>
      </xdr:nvCxnSpPr>
      <xdr:spPr>
        <a:xfrm flipH="1">
          <a:off x="6829425" y="3909028"/>
          <a:ext cx="1641" cy="424847"/>
        </a:xfrm>
        <a:prstGeom prst="straightConnector1">
          <a:avLst/>
        </a:prstGeom>
        <a:ln w="190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121690</xdr:colOff>
      <xdr:row>27</xdr:row>
      <xdr:rowOff>76536</xdr:rowOff>
    </xdr:from>
    <xdr:to>
      <xdr:col>12</xdr:col>
      <xdr:colOff>42676</xdr:colOff>
      <xdr:row>28</xdr:row>
      <xdr:rowOff>135861</xdr:rowOff>
    </xdr:to>
    <xdr:sp macro="" textlink="">
      <xdr:nvSpPr>
        <xdr:cNvPr id="133" name="CuadroTexto 364">
          <a:extLst>
            <a:ext uri="{FF2B5EF4-FFF2-40B4-BE49-F238E27FC236}">
              <a16:creationId xmlns:a16="http://schemas.microsoft.com/office/drawing/2014/main" id="{0D5CD84F-57B2-44E2-9755-D90C7CBCA05B}"/>
            </a:ext>
          </a:extLst>
        </xdr:cNvPr>
        <xdr:cNvSpPr txBox="1"/>
      </xdr:nvSpPr>
      <xdr:spPr>
        <a:xfrm>
          <a:off x="6236740" y="4191336"/>
          <a:ext cx="482961" cy="21172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Fiber</a:t>
          </a:r>
        </a:p>
      </xdr:txBody>
    </xdr:sp>
    <xdr:clientData/>
  </xdr:twoCellAnchor>
  <xdr:twoCellAnchor>
    <xdr:from>
      <xdr:col>9</xdr:col>
      <xdr:colOff>158571</xdr:colOff>
      <xdr:row>23</xdr:row>
      <xdr:rowOff>123825</xdr:rowOff>
    </xdr:from>
    <xdr:to>
      <xdr:col>9</xdr:col>
      <xdr:colOff>542925</xdr:colOff>
      <xdr:row>23</xdr:row>
      <xdr:rowOff>125907</xdr:rowOff>
    </xdr:to>
    <xdr:cxnSp macro="">
      <xdr:nvCxnSpPr>
        <xdr:cNvPr id="134" name="Conector recto de flecha 133">
          <a:extLst>
            <a:ext uri="{FF2B5EF4-FFF2-40B4-BE49-F238E27FC236}">
              <a16:creationId xmlns:a16="http://schemas.microsoft.com/office/drawing/2014/main" id="{5C017E05-1CD2-4612-A223-D3E678432A58}"/>
            </a:ext>
          </a:extLst>
        </xdr:cNvPr>
        <xdr:cNvCxnSpPr>
          <a:stCxn id="9" idx="3"/>
        </xdr:cNvCxnSpPr>
      </xdr:nvCxnSpPr>
      <xdr:spPr>
        <a:xfrm flipV="1">
          <a:off x="5216346" y="3629025"/>
          <a:ext cx="384354" cy="208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525517</xdr:colOff>
      <xdr:row>5</xdr:row>
      <xdr:rowOff>118241</xdr:rowOff>
    </xdr:from>
    <xdr:to>
      <xdr:col>3</xdr:col>
      <xdr:colOff>526752</xdr:colOff>
      <xdr:row>8</xdr:row>
      <xdr:rowOff>99777</xdr:rowOff>
    </xdr:to>
    <xdr:cxnSp macro="">
      <xdr:nvCxnSpPr>
        <xdr:cNvPr id="135" name="Conector recto de flecha 134">
          <a:extLst>
            <a:ext uri="{FF2B5EF4-FFF2-40B4-BE49-F238E27FC236}">
              <a16:creationId xmlns:a16="http://schemas.microsoft.com/office/drawing/2014/main" id="{B986CBFA-916F-42A7-926C-BA7EDB138C2A}"/>
            </a:ext>
          </a:extLst>
        </xdr:cNvPr>
        <xdr:cNvCxnSpPr>
          <a:cxnSpLocks/>
        </xdr:cNvCxnSpPr>
      </xdr:nvCxnSpPr>
      <xdr:spPr>
        <a:xfrm flipH="1" flipV="1">
          <a:off x="2211442" y="880241"/>
          <a:ext cx="1235" cy="43873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262759</xdr:colOff>
      <xdr:row>5</xdr:row>
      <xdr:rowOff>78828</xdr:rowOff>
    </xdr:from>
    <xdr:to>
      <xdr:col>3</xdr:col>
      <xdr:colOff>416325</xdr:colOff>
      <xdr:row>7</xdr:row>
      <xdr:rowOff>26791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CuadroTexto 94">
              <a:extLst>
                <a:ext uri="{FF2B5EF4-FFF2-40B4-BE49-F238E27FC236}">
                  <a16:creationId xmlns:a16="http://schemas.microsoft.com/office/drawing/2014/main" id="{F274696D-B650-4CCF-BC65-7FAD1196356D}"/>
                </a:ext>
              </a:extLst>
            </xdr:cNvPr>
            <xdr:cNvSpPr txBox="1"/>
          </xdr:nvSpPr>
          <xdr:spPr>
            <a:xfrm flipH="1">
              <a:off x="1386709" y="840828"/>
              <a:ext cx="715541" cy="2527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0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00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e>
                      <m:sub>
                        <m:r>
                          <a:rPr lang="es-CO" sz="1000" b="0" i="1">
                            <a:latin typeface="Cambria Math" panose="02040503050406030204" pitchFamily="18" charset="0"/>
                          </a:rPr>
                          <m:t>𝑠𝑡𝑒</m:t>
                        </m:r>
                        <m:r>
                          <a:rPr lang="es-CO" sz="10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s-CO" sz="1000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</m:oMath>
                </m:oMathPara>
              </a14:m>
              <a:endParaRPr lang="en-US" sz="1000"/>
            </a:p>
          </xdr:txBody>
        </xdr:sp>
      </mc:Choice>
      <mc:Fallback xmlns="">
        <xdr:sp macro="" textlink="">
          <xdr:nvSpPr>
            <xdr:cNvPr id="136" name="CuadroTexto 94">
              <a:extLst>
                <a:ext uri="{FF2B5EF4-FFF2-40B4-BE49-F238E27FC236}">
                  <a16:creationId xmlns:a16="http://schemas.microsoft.com/office/drawing/2014/main" id="{F274696D-B650-4CCF-BC65-7FAD1196356D}"/>
                </a:ext>
              </a:extLst>
            </xdr:cNvPr>
            <xdr:cNvSpPr txBox="1"/>
          </xdr:nvSpPr>
          <xdr:spPr>
            <a:xfrm flipH="1">
              <a:off x="1386709" y="840828"/>
              <a:ext cx="715541" cy="2527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000" i="0">
                  <a:latin typeface="Cambria Math" panose="02040503050406030204" pitchFamily="18" charset="0"/>
                </a:rPr>
                <a:t>𝑄</a:t>
              </a:r>
              <a:r>
                <a:rPr lang="en-US" sz="1000" i="0">
                  <a:latin typeface="Cambria Math" panose="02040503050406030204" pitchFamily="18" charset="0"/>
                </a:rPr>
                <a:t> ̇_(</a:t>
              </a:r>
              <a:r>
                <a:rPr lang="es-CO" sz="1000" b="0" i="0">
                  <a:latin typeface="Cambria Math" panose="02040503050406030204" pitchFamily="18" charset="0"/>
                </a:rPr>
                <a:t>𝑠𝑡𝑒_𝑜𝑢𝑡</a:t>
              </a:r>
              <a:r>
                <a:rPr lang="en-US" sz="1000" b="0" i="0">
                  <a:latin typeface="Cambria Math" panose="02040503050406030204" pitchFamily="18" charset="0"/>
                </a:rPr>
                <a:t>)</a:t>
              </a:r>
              <a:endParaRPr lang="en-US" sz="1000"/>
            </a:p>
          </xdr:txBody>
        </xdr:sp>
      </mc:Fallback>
    </mc:AlternateContent>
    <xdr:clientData/>
  </xdr:twoCellAnchor>
  <xdr:twoCellAnchor>
    <xdr:from>
      <xdr:col>6</xdr:col>
      <xdr:colOff>560018</xdr:colOff>
      <xdr:row>50</xdr:row>
      <xdr:rowOff>82684</xdr:rowOff>
    </xdr:from>
    <xdr:to>
      <xdr:col>7</xdr:col>
      <xdr:colOff>223498</xdr:colOff>
      <xdr:row>59</xdr:row>
      <xdr:rowOff>31019</xdr:rowOff>
    </xdr:to>
    <xdr:cxnSp macro="">
      <xdr:nvCxnSpPr>
        <xdr:cNvPr id="137" name="Conector: angular 136">
          <a:extLst>
            <a:ext uri="{FF2B5EF4-FFF2-40B4-BE49-F238E27FC236}">
              <a16:creationId xmlns:a16="http://schemas.microsoft.com/office/drawing/2014/main" id="{9B5A6119-7925-4CD5-B217-421C101FFEFD}"/>
            </a:ext>
          </a:extLst>
        </xdr:cNvPr>
        <xdr:cNvCxnSpPr>
          <a:stCxn id="83" idx="3"/>
        </xdr:cNvCxnSpPr>
      </xdr:nvCxnSpPr>
      <xdr:spPr>
        <a:xfrm rot="10800000">
          <a:off x="3931868" y="7721734"/>
          <a:ext cx="225455" cy="1319935"/>
        </a:xfrm>
        <a:prstGeom prst="bentConnector2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571062</xdr:colOff>
      <xdr:row>50</xdr:row>
      <xdr:rowOff>90230</xdr:rowOff>
    </xdr:from>
    <xdr:to>
      <xdr:col>7</xdr:col>
      <xdr:colOff>233358</xdr:colOff>
      <xdr:row>50</xdr:row>
      <xdr:rowOff>94559</xdr:rowOff>
    </xdr:to>
    <xdr:cxnSp macro="">
      <xdr:nvCxnSpPr>
        <xdr:cNvPr id="138" name="Conector recto 137">
          <a:extLst>
            <a:ext uri="{FF2B5EF4-FFF2-40B4-BE49-F238E27FC236}">
              <a16:creationId xmlns:a16="http://schemas.microsoft.com/office/drawing/2014/main" id="{B6C82164-EBC4-43C0-A9EF-1C6F66ADA2DC}"/>
            </a:ext>
          </a:extLst>
        </xdr:cNvPr>
        <xdr:cNvCxnSpPr/>
      </xdr:nvCxnSpPr>
      <xdr:spPr>
        <a:xfrm flipV="1">
          <a:off x="3933387" y="7729280"/>
          <a:ext cx="233796" cy="4329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265043</xdr:colOff>
      <xdr:row>54</xdr:row>
      <xdr:rowOff>52485</xdr:rowOff>
    </xdr:from>
    <xdr:to>
      <xdr:col>7</xdr:col>
      <xdr:colOff>8250</xdr:colOff>
      <xdr:row>54</xdr:row>
      <xdr:rowOff>57978</xdr:rowOff>
    </xdr:to>
    <xdr:cxnSp macro="">
      <xdr:nvCxnSpPr>
        <xdr:cNvPr id="139" name="Conector recto de flecha 138">
          <a:extLst>
            <a:ext uri="{FF2B5EF4-FFF2-40B4-BE49-F238E27FC236}">
              <a16:creationId xmlns:a16="http://schemas.microsoft.com/office/drawing/2014/main" id="{C221841E-9F47-42A2-A1A4-635E3F233CF2}"/>
            </a:ext>
          </a:extLst>
        </xdr:cNvPr>
        <xdr:cNvCxnSpPr/>
      </xdr:nvCxnSpPr>
      <xdr:spPr>
        <a:xfrm flipH="1">
          <a:off x="3636893" y="8301135"/>
          <a:ext cx="305182" cy="549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218017</xdr:colOff>
      <xdr:row>40</xdr:row>
      <xdr:rowOff>100040</xdr:rowOff>
    </xdr:from>
    <xdr:to>
      <xdr:col>26</xdr:col>
      <xdr:colOff>506017</xdr:colOff>
      <xdr:row>42</xdr:row>
      <xdr:rowOff>74276</xdr:rowOff>
    </xdr:to>
    <xdr:grpSp>
      <xdr:nvGrpSpPr>
        <xdr:cNvPr id="140" name="Grupo 139">
          <a:extLst>
            <a:ext uri="{FF2B5EF4-FFF2-40B4-BE49-F238E27FC236}">
              <a16:creationId xmlns:a16="http://schemas.microsoft.com/office/drawing/2014/main" id="{D5B03E90-AAC3-4ED4-90C6-13C085F9D163}"/>
            </a:ext>
          </a:extLst>
        </xdr:cNvPr>
        <xdr:cNvGrpSpPr/>
      </xdr:nvGrpSpPr>
      <xdr:grpSpPr>
        <a:xfrm>
          <a:off x="13533967" y="6500840"/>
          <a:ext cx="288000" cy="279036"/>
          <a:chOff x="1951500" y="9092283"/>
          <a:chExt cx="288000" cy="288000"/>
        </a:xfrm>
      </xdr:grpSpPr>
      <xdr:sp macro="" textlink="">
        <xdr:nvSpPr>
          <xdr:cNvPr id="141" name="Elipse 140">
            <a:extLst>
              <a:ext uri="{FF2B5EF4-FFF2-40B4-BE49-F238E27FC236}">
                <a16:creationId xmlns:a16="http://schemas.microsoft.com/office/drawing/2014/main" id="{187FBEF1-B2B9-C781-3604-28B7601CBC7A}"/>
              </a:ext>
            </a:extLst>
          </xdr:cNvPr>
          <xdr:cNvSpPr/>
        </xdr:nvSpPr>
        <xdr:spPr>
          <a:xfrm rot="5400000" flipH="1">
            <a:off x="1951500" y="9092283"/>
            <a:ext cx="288000" cy="288000"/>
          </a:xfrm>
          <a:prstGeom prst="ellips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2657"/>
          </a:p>
        </xdr:txBody>
      </xdr:sp>
      <xdr:sp macro="" textlink="">
        <xdr:nvSpPr>
          <xdr:cNvPr id="142" name="Rectángulo 141">
            <a:extLst>
              <a:ext uri="{FF2B5EF4-FFF2-40B4-BE49-F238E27FC236}">
                <a16:creationId xmlns:a16="http://schemas.microsoft.com/office/drawing/2014/main" id="{FFA6EC8D-2591-6083-7E8E-C608B55900D8}"/>
              </a:ext>
            </a:extLst>
          </xdr:cNvPr>
          <xdr:cNvSpPr/>
        </xdr:nvSpPr>
        <xdr:spPr>
          <a:xfrm rot="2699776">
            <a:off x="2005500" y="9146283"/>
            <a:ext cx="180000" cy="180000"/>
          </a:xfrm>
          <a:prstGeom prst="rec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/>
          </a:p>
        </xdr:txBody>
      </xdr:sp>
    </xdr:grpSp>
    <xdr:clientData/>
  </xdr:twoCellAnchor>
  <xdr:twoCellAnchor>
    <xdr:from>
      <xdr:col>32</xdr:col>
      <xdr:colOff>27670</xdr:colOff>
      <xdr:row>36</xdr:row>
      <xdr:rowOff>54307</xdr:rowOff>
    </xdr:from>
    <xdr:to>
      <xdr:col>34</xdr:col>
      <xdr:colOff>116080</xdr:colOff>
      <xdr:row>39</xdr:row>
      <xdr:rowOff>102515</xdr:rowOff>
    </xdr:to>
    <xdr:grpSp>
      <xdr:nvGrpSpPr>
        <xdr:cNvPr id="143" name="Grupo 142">
          <a:extLst>
            <a:ext uri="{FF2B5EF4-FFF2-40B4-BE49-F238E27FC236}">
              <a16:creationId xmlns:a16="http://schemas.microsoft.com/office/drawing/2014/main" id="{CD70D6C9-A6C3-4FB3-AAF1-997E58B93FE5}"/>
            </a:ext>
          </a:extLst>
        </xdr:cNvPr>
        <xdr:cNvGrpSpPr/>
      </xdr:nvGrpSpPr>
      <xdr:grpSpPr>
        <a:xfrm>
          <a:off x="16429720" y="5845507"/>
          <a:ext cx="1117110" cy="505408"/>
          <a:chOff x="18282052" y="6363218"/>
          <a:chExt cx="1231410" cy="518855"/>
        </a:xfrm>
      </xdr:grpSpPr>
      <xdr:grpSp>
        <xdr:nvGrpSpPr>
          <xdr:cNvPr id="144" name="Grupo 143">
            <a:extLst>
              <a:ext uri="{FF2B5EF4-FFF2-40B4-BE49-F238E27FC236}">
                <a16:creationId xmlns:a16="http://schemas.microsoft.com/office/drawing/2014/main" id="{DBAB1E97-F8A6-BDAA-4A23-ABAF8629276C}"/>
              </a:ext>
            </a:extLst>
          </xdr:cNvPr>
          <xdr:cNvGrpSpPr/>
        </xdr:nvGrpSpPr>
        <xdr:grpSpPr>
          <a:xfrm>
            <a:off x="18282052" y="6582242"/>
            <a:ext cx="853410" cy="299831"/>
            <a:chOff x="1617391" y="8551315"/>
            <a:chExt cx="853410" cy="296903"/>
          </a:xfrm>
        </xdr:grpSpPr>
        <xdr:sp macro="" textlink="">
          <xdr:nvSpPr>
            <xdr:cNvPr id="148" name="Elipse 147">
              <a:extLst>
                <a:ext uri="{FF2B5EF4-FFF2-40B4-BE49-F238E27FC236}">
                  <a16:creationId xmlns:a16="http://schemas.microsoft.com/office/drawing/2014/main" id="{0F181261-ACF3-7B30-7FF4-F8FE05A6E679}"/>
                </a:ext>
              </a:extLst>
            </xdr:cNvPr>
            <xdr:cNvSpPr/>
          </xdr:nvSpPr>
          <xdr:spPr>
            <a:xfrm rot="5400000" flipH="1">
              <a:off x="1617391" y="8560218"/>
              <a:ext cx="288000" cy="288000"/>
            </a:xfrm>
            <a:prstGeom prst="ellipse">
              <a:avLst/>
            </a:prstGeom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657"/>
            </a:p>
          </xdr:txBody>
        </xdr:sp>
        <xdr:cxnSp macro="">
          <xdr:nvCxnSpPr>
            <xdr:cNvPr id="149" name="Conector recto de flecha 148">
              <a:extLst>
                <a:ext uri="{FF2B5EF4-FFF2-40B4-BE49-F238E27FC236}">
                  <a16:creationId xmlns:a16="http://schemas.microsoft.com/office/drawing/2014/main" id="{615A817B-BC2A-E988-DE10-3A05CDD7ADD4}"/>
                </a:ext>
              </a:extLst>
            </xdr:cNvPr>
            <xdr:cNvCxnSpPr>
              <a:cxnSpLocks/>
              <a:endCxn id="146" idx="1"/>
            </xdr:cNvCxnSpPr>
          </xdr:nvCxnSpPr>
          <xdr:spPr>
            <a:xfrm>
              <a:off x="1659568" y="8800039"/>
              <a:ext cx="757233" cy="8408"/>
            </a:xfrm>
            <a:prstGeom prst="straightConnector1">
              <a:avLst/>
            </a:prstGeom>
            <a:ln w="19050"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0" name="Conector recto de flecha 149">
              <a:extLst>
                <a:ext uri="{FF2B5EF4-FFF2-40B4-BE49-F238E27FC236}">
                  <a16:creationId xmlns:a16="http://schemas.microsoft.com/office/drawing/2014/main" id="{681079D5-5904-4E04-AF57-DFA3FEA65CDC}"/>
                </a:ext>
              </a:extLst>
            </xdr:cNvPr>
            <xdr:cNvCxnSpPr>
              <a:cxnSpLocks/>
              <a:endCxn id="147" idx="1"/>
            </xdr:cNvCxnSpPr>
          </xdr:nvCxnSpPr>
          <xdr:spPr>
            <a:xfrm flipV="1">
              <a:off x="1659568" y="8551315"/>
              <a:ext cx="811233" cy="58227"/>
            </a:xfrm>
            <a:prstGeom prst="straightConnector1">
              <a:avLst/>
            </a:prstGeom>
            <a:ln w="19050"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1" name="Conector recto de flecha 150">
              <a:extLst>
                <a:ext uri="{FF2B5EF4-FFF2-40B4-BE49-F238E27FC236}">
                  <a16:creationId xmlns:a16="http://schemas.microsoft.com/office/drawing/2014/main" id="{E4E0C96D-F7E0-AF35-7B5D-953AD69AC6CE}"/>
                </a:ext>
              </a:extLst>
            </xdr:cNvPr>
            <xdr:cNvCxnSpPr>
              <a:cxnSpLocks/>
              <a:stCxn id="148" idx="3"/>
              <a:endCxn id="148" idx="0"/>
            </xdr:cNvCxnSpPr>
          </xdr:nvCxnSpPr>
          <xdr:spPr>
            <a:xfrm flipV="1">
              <a:off x="1659568" y="8704218"/>
              <a:ext cx="245823" cy="101823"/>
            </a:xfrm>
            <a:prstGeom prst="straightConnector1">
              <a:avLst/>
            </a:prstGeom>
            <a:ln w="19050"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Conector recto de flecha 151">
              <a:extLst>
                <a:ext uri="{FF2B5EF4-FFF2-40B4-BE49-F238E27FC236}">
                  <a16:creationId xmlns:a16="http://schemas.microsoft.com/office/drawing/2014/main" id="{5AFB0871-C7BE-BDAA-F3A2-329C972A14D6}"/>
                </a:ext>
              </a:extLst>
            </xdr:cNvPr>
            <xdr:cNvCxnSpPr>
              <a:cxnSpLocks/>
              <a:stCxn id="148" idx="5"/>
              <a:endCxn id="148" idx="0"/>
            </xdr:cNvCxnSpPr>
          </xdr:nvCxnSpPr>
          <xdr:spPr>
            <a:xfrm>
              <a:off x="1659568" y="8602395"/>
              <a:ext cx="245823" cy="101823"/>
            </a:xfrm>
            <a:prstGeom prst="straightConnector1">
              <a:avLst/>
            </a:prstGeom>
            <a:ln w="19050"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145" name="Grupo 144">
            <a:extLst>
              <a:ext uri="{FF2B5EF4-FFF2-40B4-BE49-F238E27FC236}">
                <a16:creationId xmlns:a16="http://schemas.microsoft.com/office/drawing/2014/main" id="{26E79CCC-D944-4681-6EB0-DA51EB44F5C7}"/>
              </a:ext>
            </a:extLst>
          </xdr:cNvPr>
          <xdr:cNvGrpSpPr/>
        </xdr:nvGrpSpPr>
        <xdr:grpSpPr>
          <a:xfrm>
            <a:off x="19081462" y="6363218"/>
            <a:ext cx="432000" cy="515492"/>
            <a:chOff x="15928731" y="6601559"/>
            <a:chExt cx="432000" cy="506442"/>
          </a:xfrm>
        </xdr:grpSpPr>
        <xdr:sp macro="" textlink="">
          <xdr:nvSpPr>
            <xdr:cNvPr id="146" name="Rectángulo 145">
              <a:extLst>
                <a:ext uri="{FF2B5EF4-FFF2-40B4-BE49-F238E27FC236}">
                  <a16:creationId xmlns:a16="http://schemas.microsoft.com/office/drawing/2014/main" id="{7AF1D9FF-E0C8-02C5-894E-40EF4CB5AC54}"/>
                </a:ext>
              </a:extLst>
            </xdr:cNvPr>
            <xdr:cNvSpPr/>
          </xdr:nvSpPr>
          <xdr:spPr>
            <a:xfrm>
              <a:off x="15928731" y="7036001"/>
              <a:ext cx="432000" cy="72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sp macro="" textlink="">
          <xdr:nvSpPr>
            <xdr:cNvPr id="147" name="Trapecio 146">
              <a:extLst>
                <a:ext uri="{FF2B5EF4-FFF2-40B4-BE49-F238E27FC236}">
                  <a16:creationId xmlns:a16="http://schemas.microsoft.com/office/drawing/2014/main" id="{42908940-7C0A-6835-E05D-B86CB6A20864}"/>
                </a:ext>
              </a:extLst>
            </xdr:cNvPr>
            <xdr:cNvSpPr/>
          </xdr:nvSpPr>
          <xdr:spPr>
            <a:xfrm>
              <a:off x="15928731" y="6601559"/>
              <a:ext cx="432000" cy="432000"/>
            </a:xfrm>
            <a:prstGeom prst="trapezoid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</xdr:grpSp>
    </xdr:grpSp>
    <xdr:clientData/>
  </xdr:twoCellAnchor>
  <xdr:twoCellAnchor>
    <xdr:from>
      <xdr:col>26</xdr:col>
      <xdr:colOff>339164</xdr:colOff>
      <xdr:row>10</xdr:row>
      <xdr:rowOff>77744</xdr:rowOff>
    </xdr:from>
    <xdr:to>
      <xdr:col>32</xdr:col>
      <xdr:colOff>107559</xdr:colOff>
      <xdr:row>11</xdr:row>
      <xdr:rowOff>46402</xdr:rowOff>
    </xdr:to>
    <xdr:cxnSp macro="">
      <xdr:nvCxnSpPr>
        <xdr:cNvPr id="153" name="Conector: angular 152">
          <a:extLst>
            <a:ext uri="{FF2B5EF4-FFF2-40B4-BE49-F238E27FC236}">
              <a16:creationId xmlns:a16="http://schemas.microsoft.com/office/drawing/2014/main" id="{6E2171B7-B078-4B95-BBA3-CB65FB8E019E}"/>
            </a:ext>
          </a:extLst>
        </xdr:cNvPr>
        <xdr:cNvCxnSpPr>
          <a:cxnSpLocks noChangeAspect="1"/>
          <a:stCxn id="91" idx="0"/>
          <a:endCxn id="56" idx="4"/>
        </xdr:cNvCxnSpPr>
      </xdr:nvCxnSpPr>
      <xdr:spPr>
        <a:xfrm rot="5400000" flipH="1" flipV="1">
          <a:off x="16393433" y="92150"/>
          <a:ext cx="121058" cy="3140245"/>
        </a:xfrm>
        <a:prstGeom prst="bentConnector3">
          <a:avLst>
            <a:gd name="adj1" fmla="val 1029511"/>
          </a:avLst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506019</xdr:colOff>
      <xdr:row>39</xdr:row>
      <xdr:rowOff>102516</xdr:rowOff>
    </xdr:from>
    <xdr:to>
      <xdr:col>32</xdr:col>
      <xdr:colOff>171672</xdr:colOff>
      <xdr:row>41</xdr:row>
      <xdr:rowOff>87158</xdr:rowOff>
    </xdr:to>
    <xdr:cxnSp macro="">
      <xdr:nvCxnSpPr>
        <xdr:cNvPr id="154" name="Conector: angular 153">
          <a:extLst>
            <a:ext uri="{FF2B5EF4-FFF2-40B4-BE49-F238E27FC236}">
              <a16:creationId xmlns:a16="http://schemas.microsoft.com/office/drawing/2014/main" id="{F9D4FA87-7E4F-44FE-AC33-192BE0EF33BA}"/>
            </a:ext>
          </a:extLst>
        </xdr:cNvPr>
        <xdr:cNvCxnSpPr>
          <a:cxnSpLocks noChangeAspect="1"/>
          <a:stCxn id="148" idx="2"/>
          <a:endCxn id="141" idx="0"/>
        </xdr:cNvCxnSpPr>
      </xdr:nvCxnSpPr>
      <xdr:spPr>
        <a:xfrm rot="5400000">
          <a:off x="16424725" y="4672085"/>
          <a:ext cx="289442" cy="3037503"/>
        </a:xfrm>
        <a:prstGeom prst="bentConnector2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350632</xdr:colOff>
      <xdr:row>21</xdr:row>
      <xdr:rowOff>116712</xdr:rowOff>
    </xdr:from>
    <xdr:to>
      <xdr:col>26</xdr:col>
      <xdr:colOff>362018</xdr:colOff>
      <xdr:row>40</xdr:row>
      <xdr:rowOff>100041</xdr:rowOff>
    </xdr:to>
    <xdr:cxnSp macro="">
      <xdr:nvCxnSpPr>
        <xdr:cNvPr id="155" name="Conector recto de flecha 154">
          <a:extLst>
            <a:ext uri="{FF2B5EF4-FFF2-40B4-BE49-F238E27FC236}">
              <a16:creationId xmlns:a16="http://schemas.microsoft.com/office/drawing/2014/main" id="{0FB5656B-5F68-42BB-808C-86C2C38A6F2D}"/>
            </a:ext>
          </a:extLst>
        </xdr:cNvPr>
        <xdr:cNvCxnSpPr>
          <a:cxnSpLocks/>
          <a:stCxn id="141" idx="6"/>
          <a:endCxn id="158" idx="3"/>
        </xdr:cNvCxnSpPr>
      </xdr:nvCxnSpPr>
      <xdr:spPr>
        <a:xfrm flipH="1" flipV="1">
          <a:off x="14895307" y="3317112"/>
          <a:ext cx="11386" cy="2878929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211013</xdr:colOff>
      <xdr:row>20</xdr:row>
      <xdr:rowOff>89048</xdr:rowOff>
    </xdr:from>
    <xdr:to>
      <xdr:col>26</xdr:col>
      <xdr:colOff>170632</xdr:colOff>
      <xdr:row>20</xdr:row>
      <xdr:rowOff>93594</xdr:rowOff>
    </xdr:to>
    <xdr:cxnSp macro="">
      <xdr:nvCxnSpPr>
        <xdr:cNvPr id="156" name="Conector recto de flecha 155">
          <a:extLst>
            <a:ext uri="{FF2B5EF4-FFF2-40B4-BE49-F238E27FC236}">
              <a16:creationId xmlns:a16="http://schemas.microsoft.com/office/drawing/2014/main" id="{32AFBDFD-4F50-4DAD-884D-846390CEC31B}"/>
            </a:ext>
          </a:extLst>
        </xdr:cNvPr>
        <xdr:cNvCxnSpPr>
          <a:cxnSpLocks/>
          <a:stCxn id="94" idx="0"/>
          <a:endCxn id="158" idx="0"/>
        </xdr:cNvCxnSpPr>
      </xdr:nvCxnSpPr>
      <xdr:spPr>
        <a:xfrm>
          <a:off x="14193713" y="3137048"/>
          <a:ext cx="521594" cy="4546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170632</xdr:colOff>
      <xdr:row>19</xdr:row>
      <xdr:rowOff>70476</xdr:rowOff>
    </xdr:from>
    <xdr:to>
      <xdr:col>26</xdr:col>
      <xdr:colOff>530632</xdr:colOff>
      <xdr:row>21</xdr:row>
      <xdr:rowOff>116712</xdr:rowOff>
    </xdr:to>
    <xdr:grpSp>
      <xdr:nvGrpSpPr>
        <xdr:cNvPr id="157" name="Grupo 156">
          <a:extLst>
            <a:ext uri="{FF2B5EF4-FFF2-40B4-BE49-F238E27FC236}">
              <a16:creationId xmlns:a16="http://schemas.microsoft.com/office/drawing/2014/main" id="{DAD54391-1FB5-4093-9B7C-F7EC317AD63B}"/>
            </a:ext>
          </a:extLst>
        </xdr:cNvPr>
        <xdr:cNvGrpSpPr/>
      </xdr:nvGrpSpPr>
      <xdr:grpSpPr>
        <a:xfrm>
          <a:off x="13486582" y="3270876"/>
          <a:ext cx="344760" cy="351036"/>
          <a:chOff x="16093838" y="4232610"/>
          <a:chExt cx="360000" cy="352396"/>
        </a:xfrm>
      </xdr:grpSpPr>
      <xdr:sp macro="" textlink="">
        <xdr:nvSpPr>
          <xdr:cNvPr id="158" name="Rectángulo: esquinas superiores redondeadas 157">
            <a:extLst>
              <a:ext uri="{FF2B5EF4-FFF2-40B4-BE49-F238E27FC236}">
                <a16:creationId xmlns:a16="http://schemas.microsoft.com/office/drawing/2014/main" id="{A44214A0-5A21-17BD-B3E7-7404CE7883B4}"/>
              </a:ext>
            </a:extLst>
          </xdr:cNvPr>
          <xdr:cNvSpPr/>
        </xdr:nvSpPr>
        <xdr:spPr>
          <a:xfrm rot="10800000">
            <a:off x="16093838" y="4232610"/>
            <a:ext cx="360000" cy="352396"/>
          </a:xfrm>
          <a:prstGeom prst="round2SameRect">
            <a:avLst>
              <a:gd name="adj1" fmla="val 50000"/>
              <a:gd name="adj2" fmla="val 0"/>
            </a:avLst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cxnSp macro="">
        <xdr:nvCxnSpPr>
          <xdr:cNvPr id="159" name="Conector recto 158">
            <a:extLst>
              <a:ext uri="{FF2B5EF4-FFF2-40B4-BE49-F238E27FC236}">
                <a16:creationId xmlns:a16="http://schemas.microsoft.com/office/drawing/2014/main" id="{2D8A0755-24AF-E646-2BD9-43F9325AF1FF}"/>
              </a:ext>
            </a:extLst>
          </xdr:cNvPr>
          <xdr:cNvCxnSpPr/>
        </xdr:nvCxnSpPr>
        <xdr:spPr>
          <a:xfrm flipH="1">
            <a:off x="16277962" y="4299857"/>
            <a:ext cx="105038" cy="10305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" name="Conector recto 159">
            <a:extLst>
              <a:ext uri="{FF2B5EF4-FFF2-40B4-BE49-F238E27FC236}">
                <a16:creationId xmlns:a16="http://schemas.microsoft.com/office/drawing/2014/main" id="{E7EDACCF-3EA0-F02E-0C30-361BBE93C034}"/>
              </a:ext>
            </a:extLst>
          </xdr:cNvPr>
          <xdr:cNvCxnSpPr/>
        </xdr:nvCxnSpPr>
        <xdr:spPr>
          <a:xfrm flipH="1" flipV="1">
            <a:off x="16175491" y="4303259"/>
            <a:ext cx="98801" cy="10062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" name="Conector recto 160">
            <a:extLst>
              <a:ext uri="{FF2B5EF4-FFF2-40B4-BE49-F238E27FC236}">
                <a16:creationId xmlns:a16="http://schemas.microsoft.com/office/drawing/2014/main" id="{098BFEED-2BA9-E7C6-AAC5-9BE8FF0D64AA}"/>
              </a:ext>
            </a:extLst>
          </xdr:cNvPr>
          <xdr:cNvCxnSpPr/>
        </xdr:nvCxnSpPr>
        <xdr:spPr>
          <a:xfrm rot="5400000">
            <a:off x="16201211" y="4473182"/>
            <a:ext cx="144000" cy="166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339165</xdr:colOff>
      <xdr:row>15</xdr:row>
      <xdr:rowOff>133462</xdr:rowOff>
    </xdr:from>
    <xdr:to>
      <xdr:col>26</xdr:col>
      <xdr:colOff>350632</xdr:colOff>
      <xdr:row>19</xdr:row>
      <xdr:rowOff>70476</xdr:rowOff>
    </xdr:to>
    <xdr:cxnSp macro="">
      <xdr:nvCxnSpPr>
        <xdr:cNvPr id="162" name="Conector recto de flecha 161">
          <a:extLst>
            <a:ext uri="{FF2B5EF4-FFF2-40B4-BE49-F238E27FC236}">
              <a16:creationId xmlns:a16="http://schemas.microsoft.com/office/drawing/2014/main" id="{9EA3AA78-B7F9-4041-BA08-0B072AFDD46E}"/>
            </a:ext>
          </a:extLst>
        </xdr:cNvPr>
        <xdr:cNvCxnSpPr>
          <a:cxnSpLocks/>
          <a:stCxn id="158" idx="1"/>
          <a:endCxn id="91" idx="2"/>
        </xdr:cNvCxnSpPr>
      </xdr:nvCxnSpPr>
      <xdr:spPr>
        <a:xfrm flipH="1" flipV="1">
          <a:off x="14883840" y="2419462"/>
          <a:ext cx="11467" cy="546614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530632</xdr:colOff>
      <xdr:row>20</xdr:row>
      <xdr:rowOff>91109</xdr:rowOff>
    </xdr:from>
    <xdr:to>
      <xdr:col>27</xdr:col>
      <xdr:colOff>430695</xdr:colOff>
      <xdr:row>20</xdr:row>
      <xdr:rowOff>93594</xdr:rowOff>
    </xdr:to>
    <xdr:cxnSp macro="">
      <xdr:nvCxnSpPr>
        <xdr:cNvPr id="163" name="Conector recto de flecha 162">
          <a:extLst>
            <a:ext uri="{FF2B5EF4-FFF2-40B4-BE49-F238E27FC236}">
              <a16:creationId xmlns:a16="http://schemas.microsoft.com/office/drawing/2014/main" id="{5075E6D5-692C-4E02-8BF2-53E484F15CCD}"/>
            </a:ext>
          </a:extLst>
        </xdr:cNvPr>
        <xdr:cNvCxnSpPr>
          <a:cxnSpLocks/>
          <a:endCxn id="158" idx="2"/>
        </xdr:cNvCxnSpPr>
      </xdr:nvCxnSpPr>
      <xdr:spPr>
        <a:xfrm flipH="1">
          <a:off x="15075307" y="3139109"/>
          <a:ext cx="462038" cy="2485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216335</xdr:colOff>
      <xdr:row>33</xdr:row>
      <xdr:rowOff>25501</xdr:rowOff>
    </xdr:from>
    <xdr:to>
      <xdr:col>9</xdr:col>
      <xdr:colOff>149046</xdr:colOff>
      <xdr:row>36</xdr:row>
      <xdr:rowOff>112013</xdr:rowOff>
    </xdr:to>
    <xdr:sp macro="" textlink="">
      <xdr:nvSpPr>
        <xdr:cNvPr id="164" name="Rectángulo 163">
          <a:extLst>
            <a:ext uri="{FF2B5EF4-FFF2-40B4-BE49-F238E27FC236}">
              <a16:creationId xmlns:a16="http://schemas.microsoft.com/office/drawing/2014/main" id="{A17A4CB8-A9B3-4F31-939D-A212D0B6A541}"/>
            </a:ext>
          </a:extLst>
        </xdr:cNvPr>
        <xdr:cNvSpPr/>
      </xdr:nvSpPr>
      <xdr:spPr>
        <a:xfrm>
          <a:off x="4150160" y="5054701"/>
          <a:ext cx="1056661" cy="54371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EFB</a:t>
          </a:r>
          <a:r>
            <a:rPr lang="en-US" sz="1100" baseline="0"/>
            <a:t> Steam Explotion</a:t>
          </a:r>
          <a:endParaRPr lang="en-US" sz="1100"/>
        </a:p>
      </xdr:txBody>
    </xdr:sp>
    <xdr:clientData/>
  </xdr:twoCellAnchor>
  <xdr:twoCellAnchor>
    <xdr:from>
      <xdr:col>6</xdr:col>
      <xdr:colOff>314327</xdr:colOff>
      <xdr:row>18</xdr:row>
      <xdr:rowOff>38099</xdr:rowOff>
    </xdr:from>
    <xdr:to>
      <xdr:col>7</xdr:col>
      <xdr:colOff>216335</xdr:colOff>
      <xdr:row>34</xdr:row>
      <xdr:rowOff>144957</xdr:rowOff>
    </xdr:to>
    <xdr:cxnSp macro="">
      <xdr:nvCxnSpPr>
        <xdr:cNvPr id="165" name="Conector: angular 164">
          <a:extLst>
            <a:ext uri="{FF2B5EF4-FFF2-40B4-BE49-F238E27FC236}">
              <a16:creationId xmlns:a16="http://schemas.microsoft.com/office/drawing/2014/main" id="{AA89888C-1911-4F16-AD20-9246A3BBDE13}"/>
            </a:ext>
          </a:extLst>
        </xdr:cNvPr>
        <xdr:cNvCxnSpPr>
          <a:endCxn id="164" idx="1"/>
        </xdr:cNvCxnSpPr>
      </xdr:nvCxnSpPr>
      <xdr:spPr>
        <a:xfrm rot="16200000" flipH="1">
          <a:off x="2645540" y="3821936"/>
          <a:ext cx="2545258" cy="463983"/>
        </a:xfrm>
        <a:prstGeom prst="bentConnector2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149046</xdr:colOff>
      <xdr:row>34</xdr:row>
      <xdr:rowOff>144957</xdr:rowOff>
    </xdr:from>
    <xdr:to>
      <xdr:col>23</xdr:col>
      <xdr:colOff>539759</xdr:colOff>
      <xdr:row>35</xdr:row>
      <xdr:rowOff>10536</xdr:rowOff>
    </xdr:to>
    <xdr:cxnSp macro="">
      <xdr:nvCxnSpPr>
        <xdr:cNvPr id="166" name="Conector recto de flecha 165">
          <a:extLst>
            <a:ext uri="{FF2B5EF4-FFF2-40B4-BE49-F238E27FC236}">
              <a16:creationId xmlns:a16="http://schemas.microsoft.com/office/drawing/2014/main" id="{785C0CC1-ADB7-458A-BBFF-B7F49F372A8A}"/>
            </a:ext>
          </a:extLst>
        </xdr:cNvPr>
        <xdr:cNvCxnSpPr>
          <a:stCxn id="29" idx="3"/>
          <a:endCxn id="164" idx="3"/>
        </xdr:cNvCxnSpPr>
      </xdr:nvCxnSpPr>
      <xdr:spPr>
        <a:xfrm flipH="1" flipV="1">
          <a:off x="5206821" y="5326557"/>
          <a:ext cx="8191688" cy="1797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174288</xdr:colOff>
      <xdr:row>12</xdr:row>
      <xdr:rowOff>9637</xdr:rowOff>
    </xdr:from>
    <xdr:to>
      <xdr:col>15</xdr:col>
      <xdr:colOff>177240</xdr:colOff>
      <xdr:row>14</xdr:row>
      <xdr:rowOff>12159</xdr:rowOff>
    </xdr:to>
    <xdr:cxnSp macro="">
      <xdr:nvCxnSpPr>
        <xdr:cNvPr id="167" name="Conector recto de flecha 166">
          <a:extLst>
            <a:ext uri="{FF2B5EF4-FFF2-40B4-BE49-F238E27FC236}">
              <a16:creationId xmlns:a16="http://schemas.microsoft.com/office/drawing/2014/main" id="{CC7FF3A2-B9C0-4782-B6C9-8FE35915ABC0}"/>
            </a:ext>
          </a:extLst>
        </xdr:cNvPr>
        <xdr:cNvCxnSpPr>
          <a:cxnSpLocks/>
        </xdr:cNvCxnSpPr>
      </xdr:nvCxnSpPr>
      <xdr:spPr>
        <a:xfrm flipV="1">
          <a:off x="8537238" y="1838437"/>
          <a:ext cx="2952" cy="307322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419100</xdr:colOff>
      <xdr:row>36</xdr:row>
      <xdr:rowOff>123825</xdr:rowOff>
    </xdr:from>
    <xdr:to>
      <xdr:col>7</xdr:col>
      <xdr:colOff>419100</xdr:colOff>
      <xdr:row>38</xdr:row>
      <xdr:rowOff>66675</xdr:rowOff>
    </xdr:to>
    <xdr:cxnSp macro="">
      <xdr:nvCxnSpPr>
        <xdr:cNvPr id="168" name="Conector recto de flecha 167">
          <a:extLst>
            <a:ext uri="{FF2B5EF4-FFF2-40B4-BE49-F238E27FC236}">
              <a16:creationId xmlns:a16="http://schemas.microsoft.com/office/drawing/2014/main" id="{E1AE1047-EDC3-4DF0-A893-F2B28414ABA8}"/>
            </a:ext>
          </a:extLst>
        </xdr:cNvPr>
        <xdr:cNvCxnSpPr>
          <a:cxnSpLocks/>
        </xdr:cNvCxnSpPr>
      </xdr:nvCxnSpPr>
      <xdr:spPr>
        <a:xfrm>
          <a:off x="4352925" y="5610225"/>
          <a:ext cx="0" cy="247650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182691</xdr:colOff>
      <xdr:row>36</xdr:row>
      <xdr:rowOff>112013</xdr:rowOff>
    </xdr:from>
    <xdr:to>
      <xdr:col>8</xdr:col>
      <xdr:colOff>188008</xdr:colOff>
      <xdr:row>47</xdr:row>
      <xdr:rowOff>106123</xdr:rowOff>
    </xdr:to>
    <xdr:cxnSp macro="">
      <xdr:nvCxnSpPr>
        <xdr:cNvPr id="169" name="Conector recto de flecha 168">
          <a:extLst>
            <a:ext uri="{FF2B5EF4-FFF2-40B4-BE49-F238E27FC236}">
              <a16:creationId xmlns:a16="http://schemas.microsoft.com/office/drawing/2014/main" id="{61C868F8-7FB8-485F-8ED7-1CD6549A1D68}"/>
            </a:ext>
          </a:extLst>
        </xdr:cNvPr>
        <xdr:cNvCxnSpPr>
          <a:cxnSpLocks/>
          <a:stCxn id="164" idx="2"/>
          <a:endCxn id="67" idx="0"/>
        </xdr:cNvCxnSpPr>
      </xdr:nvCxnSpPr>
      <xdr:spPr>
        <a:xfrm>
          <a:off x="4678491" y="5598413"/>
          <a:ext cx="5317" cy="167051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567559</xdr:colOff>
      <xdr:row>35</xdr:row>
      <xdr:rowOff>50253</xdr:rowOff>
    </xdr:from>
    <xdr:to>
      <xdr:col>11</xdr:col>
      <xdr:colOff>225825</xdr:colOff>
      <xdr:row>36</xdr:row>
      <xdr:rowOff>150616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CuadroTexto 94">
              <a:extLst>
                <a:ext uri="{FF2B5EF4-FFF2-40B4-BE49-F238E27FC236}">
                  <a16:creationId xmlns:a16="http://schemas.microsoft.com/office/drawing/2014/main" id="{95E3BE8F-C8A8-4241-AD34-35CA17B8A8E2}"/>
                </a:ext>
              </a:extLst>
            </xdr:cNvPr>
            <xdr:cNvSpPr txBox="1"/>
          </xdr:nvSpPr>
          <xdr:spPr>
            <a:xfrm flipH="1">
              <a:off x="5615809" y="5384253"/>
              <a:ext cx="725066" cy="2527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̇"/>
                            <m:ctrlPr>
                              <a:rPr lang="en-US" sz="10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00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e>
                      <m:sub>
                        <m:r>
                          <a:rPr lang="es-CO" sz="1000" b="0" i="1">
                            <a:latin typeface="Cambria Math" panose="02040503050406030204" pitchFamily="18" charset="0"/>
                          </a:rPr>
                          <m:t>𝑝𝑟𝑒</m:t>
                        </m:r>
                        <m:r>
                          <a:rPr lang="es-CO" sz="10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s-CO" sz="1000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</m:oMath>
                </m:oMathPara>
              </a14:m>
              <a:endParaRPr lang="en-US" sz="1000"/>
            </a:p>
          </xdr:txBody>
        </xdr:sp>
      </mc:Choice>
      <mc:Fallback xmlns="">
        <xdr:sp macro="" textlink="">
          <xdr:nvSpPr>
            <xdr:cNvPr id="170" name="CuadroTexto 94">
              <a:extLst>
                <a:ext uri="{FF2B5EF4-FFF2-40B4-BE49-F238E27FC236}">
                  <a16:creationId xmlns:a16="http://schemas.microsoft.com/office/drawing/2014/main" id="{95E3BE8F-C8A8-4241-AD34-35CA17B8A8E2}"/>
                </a:ext>
              </a:extLst>
            </xdr:cNvPr>
            <xdr:cNvSpPr txBox="1"/>
          </xdr:nvSpPr>
          <xdr:spPr>
            <a:xfrm flipH="1">
              <a:off x="5615809" y="5384253"/>
              <a:ext cx="725066" cy="2527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000" i="0">
                  <a:latin typeface="Cambria Math" panose="02040503050406030204" pitchFamily="18" charset="0"/>
                </a:rPr>
                <a:t>𝑄</a:t>
              </a:r>
              <a:r>
                <a:rPr lang="en-US" sz="1000" i="0">
                  <a:latin typeface="Cambria Math" panose="02040503050406030204" pitchFamily="18" charset="0"/>
                </a:rPr>
                <a:t> ̇_(</a:t>
              </a:r>
              <a:r>
                <a:rPr lang="es-CO" sz="1000" b="0" i="0">
                  <a:latin typeface="Cambria Math" panose="02040503050406030204" pitchFamily="18" charset="0"/>
                </a:rPr>
                <a:t>𝑝𝑟𝑒_𝑜𝑢𝑡</a:t>
              </a:r>
              <a:r>
                <a:rPr lang="en-US" sz="1000" b="0" i="0">
                  <a:latin typeface="Cambria Math" panose="02040503050406030204" pitchFamily="18" charset="0"/>
                </a:rPr>
                <a:t>)</a:t>
              </a:r>
              <a:endParaRPr lang="en-US" sz="1000"/>
            </a:p>
          </xdr:txBody>
        </xdr:sp>
      </mc:Fallback>
    </mc:AlternateContent>
    <xdr:clientData/>
  </xdr:twoCellAnchor>
  <xdr:twoCellAnchor>
    <xdr:from>
      <xdr:col>18</xdr:col>
      <xdr:colOff>457389</xdr:colOff>
      <xdr:row>22</xdr:row>
      <xdr:rowOff>12396</xdr:rowOff>
    </xdr:from>
    <xdr:to>
      <xdr:col>20</xdr:col>
      <xdr:colOff>390100</xdr:colOff>
      <xdr:row>25</xdr:row>
      <xdr:rowOff>98908</xdr:rowOff>
    </xdr:to>
    <xdr:sp macro="" textlink="">
      <xdr:nvSpPr>
        <xdr:cNvPr id="171" name="Rectángulo 170">
          <a:extLst>
            <a:ext uri="{FF2B5EF4-FFF2-40B4-BE49-F238E27FC236}">
              <a16:creationId xmlns:a16="http://schemas.microsoft.com/office/drawing/2014/main" id="{78FDC28F-BB41-4A52-8347-284243A889EE}"/>
            </a:ext>
          </a:extLst>
        </xdr:cNvPr>
        <xdr:cNvSpPr/>
      </xdr:nvSpPr>
      <xdr:spPr>
        <a:xfrm>
          <a:off x="10506264" y="3365196"/>
          <a:ext cx="1056661" cy="54371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100"/>
            <a:t>KPO </a:t>
          </a:r>
        </a:p>
        <a:p>
          <a:pPr algn="ctr"/>
          <a:r>
            <a:rPr lang="es-CO" sz="1100"/>
            <a:t>Extraction</a:t>
          </a:r>
        </a:p>
      </xdr:txBody>
    </xdr:sp>
    <xdr:clientData/>
  </xdr:twoCellAnchor>
  <xdr:twoCellAnchor>
    <xdr:from>
      <xdr:col>19</xdr:col>
      <xdr:colOff>419117</xdr:colOff>
      <xdr:row>12</xdr:row>
      <xdr:rowOff>18234</xdr:rowOff>
    </xdr:from>
    <xdr:to>
      <xdr:col>19</xdr:col>
      <xdr:colOff>423745</xdr:colOff>
      <xdr:row>22</xdr:row>
      <xdr:rowOff>12396</xdr:rowOff>
    </xdr:to>
    <xdr:cxnSp macro="">
      <xdr:nvCxnSpPr>
        <xdr:cNvPr id="172" name="Conector recto de flecha 171">
          <a:extLst>
            <a:ext uri="{FF2B5EF4-FFF2-40B4-BE49-F238E27FC236}">
              <a16:creationId xmlns:a16="http://schemas.microsoft.com/office/drawing/2014/main" id="{1E0FF0AB-3CB1-4203-814F-FC3E5E9ECB12}"/>
            </a:ext>
          </a:extLst>
        </xdr:cNvPr>
        <xdr:cNvCxnSpPr>
          <a:cxnSpLocks/>
          <a:stCxn id="7" idx="2"/>
          <a:endCxn id="171" idx="0"/>
        </xdr:cNvCxnSpPr>
      </xdr:nvCxnSpPr>
      <xdr:spPr>
        <a:xfrm>
          <a:off x="11029967" y="1847034"/>
          <a:ext cx="4628" cy="1518162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513925</xdr:colOff>
      <xdr:row>23</xdr:row>
      <xdr:rowOff>131852</xdr:rowOff>
    </xdr:from>
    <xdr:to>
      <xdr:col>18</xdr:col>
      <xdr:colOff>457389</xdr:colOff>
      <xdr:row>23</xdr:row>
      <xdr:rowOff>131852</xdr:rowOff>
    </xdr:to>
    <xdr:cxnSp macro="">
      <xdr:nvCxnSpPr>
        <xdr:cNvPr id="173" name="Conector recto de flecha 172">
          <a:extLst>
            <a:ext uri="{FF2B5EF4-FFF2-40B4-BE49-F238E27FC236}">
              <a16:creationId xmlns:a16="http://schemas.microsoft.com/office/drawing/2014/main" id="{F564FC47-C541-407D-9A62-BF5A5C166594}"/>
            </a:ext>
          </a:extLst>
        </xdr:cNvPr>
        <xdr:cNvCxnSpPr>
          <a:cxnSpLocks/>
          <a:stCxn id="16" idx="3"/>
          <a:endCxn id="171" idx="1"/>
        </xdr:cNvCxnSpPr>
      </xdr:nvCxnSpPr>
      <xdr:spPr>
        <a:xfrm>
          <a:off x="9438850" y="3637052"/>
          <a:ext cx="1067414" cy="0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533400</xdr:colOff>
      <xdr:row>25</xdr:row>
      <xdr:rowOff>99028</xdr:rowOff>
    </xdr:from>
    <xdr:to>
      <xdr:col>15</xdr:col>
      <xdr:colOff>535041</xdr:colOff>
      <xdr:row>28</xdr:row>
      <xdr:rowOff>47625</xdr:rowOff>
    </xdr:to>
    <xdr:cxnSp macro="">
      <xdr:nvCxnSpPr>
        <xdr:cNvPr id="174" name="Conector recto de flecha 173">
          <a:extLst>
            <a:ext uri="{FF2B5EF4-FFF2-40B4-BE49-F238E27FC236}">
              <a16:creationId xmlns:a16="http://schemas.microsoft.com/office/drawing/2014/main" id="{A2952755-604E-4950-B3B4-B35314F436B9}"/>
            </a:ext>
          </a:extLst>
        </xdr:cNvPr>
        <xdr:cNvCxnSpPr>
          <a:cxnSpLocks/>
        </xdr:cNvCxnSpPr>
      </xdr:nvCxnSpPr>
      <xdr:spPr>
        <a:xfrm flipH="1">
          <a:off x="8896350" y="3909028"/>
          <a:ext cx="1641" cy="405797"/>
        </a:xfrm>
        <a:prstGeom prst="straightConnector1">
          <a:avLst/>
        </a:prstGeom>
        <a:ln w="190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303620</xdr:colOff>
      <xdr:row>9</xdr:row>
      <xdr:rowOff>133350</xdr:rowOff>
    </xdr:from>
    <xdr:to>
      <xdr:col>28</xdr:col>
      <xdr:colOff>247650</xdr:colOff>
      <xdr:row>13</xdr:row>
      <xdr:rowOff>89932</xdr:rowOff>
    </xdr:to>
    <xdr:cxnSp macro="">
      <xdr:nvCxnSpPr>
        <xdr:cNvPr id="175" name="Conector: angular 174">
          <a:extLst>
            <a:ext uri="{FF2B5EF4-FFF2-40B4-BE49-F238E27FC236}">
              <a16:creationId xmlns:a16="http://schemas.microsoft.com/office/drawing/2014/main" id="{89A8D0C4-1F9D-41F1-9C65-7F487ADDC429}"/>
            </a:ext>
          </a:extLst>
        </xdr:cNvPr>
        <xdr:cNvCxnSpPr>
          <a:stCxn id="91" idx="3"/>
        </xdr:cNvCxnSpPr>
      </xdr:nvCxnSpPr>
      <xdr:spPr>
        <a:xfrm flipV="1">
          <a:off x="15410270" y="1504950"/>
          <a:ext cx="506005" cy="566182"/>
        </a:xfrm>
        <a:prstGeom prst="bentConnector2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247650</xdr:colOff>
      <xdr:row>10</xdr:row>
      <xdr:rowOff>19050</xdr:rowOff>
    </xdr:from>
    <xdr:to>
      <xdr:col>29</xdr:col>
      <xdr:colOff>401232</xdr:colOff>
      <xdr:row>11</xdr:row>
      <xdr:rowOff>120800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CuadroTexto 95">
              <a:extLst>
                <a:ext uri="{FF2B5EF4-FFF2-40B4-BE49-F238E27FC236}">
                  <a16:creationId xmlns:a16="http://schemas.microsoft.com/office/drawing/2014/main" id="{8BE6BBE2-0E50-4B87-8FF5-90EBD4B82936}"/>
                </a:ext>
              </a:extLst>
            </xdr:cNvPr>
            <xdr:cNvSpPr txBox="1"/>
          </xdr:nvSpPr>
          <xdr:spPr>
            <a:xfrm flipH="1">
              <a:off x="15916275" y="1543050"/>
              <a:ext cx="715557" cy="25415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00" b="0" i="1">
                        <a:latin typeface="Cambria Math" panose="02040503050406030204" pitchFamily="18" charset="0"/>
                      </a:rPr>
                      <m:t>𝐶𝑙𝑒𝑎𝑛𝑖𝑛𝑔</m:t>
                    </m:r>
                  </m:oMath>
                </m:oMathPara>
              </a14:m>
              <a:endParaRPr lang="en-US" sz="1000"/>
            </a:p>
          </xdr:txBody>
        </xdr:sp>
      </mc:Choice>
      <mc:Fallback xmlns="">
        <xdr:sp macro="" textlink="">
          <xdr:nvSpPr>
            <xdr:cNvPr id="176" name="CuadroTexto 95">
              <a:extLst>
                <a:ext uri="{FF2B5EF4-FFF2-40B4-BE49-F238E27FC236}">
                  <a16:creationId xmlns:a16="http://schemas.microsoft.com/office/drawing/2014/main" id="{8BE6BBE2-0E50-4B87-8FF5-90EBD4B82936}"/>
                </a:ext>
              </a:extLst>
            </xdr:cNvPr>
            <xdr:cNvSpPr txBox="1"/>
          </xdr:nvSpPr>
          <xdr:spPr>
            <a:xfrm flipH="1">
              <a:off x="15916275" y="1543050"/>
              <a:ext cx="715557" cy="25415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000" b="0" i="0">
                  <a:latin typeface="Cambria Math" panose="02040503050406030204" pitchFamily="18" charset="0"/>
                </a:rPr>
                <a:t>𝐶𝑙𝑒𝑎𝑛𝑖𝑛𝑔</a:t>
              </a:r>
              <a:endParaRPr lang="en-US" sz="1000"/>
            </a:p>
          </xdr:txBody>
        </xdr:sp>
      </mc:Fallback>
    </mc:AlternateContent>
    <xdr:clientData/>
  </xdr:twoCellAnchor>
  <xdr:twoCellAnchor editAs="oneCell">
    <xdr:from>
      <xdr:col>40</xdr:col>
      <xdr:colOff>194829</xdr:colOff>
      <xdr:row>21</xdr:row>
      <xdr:rowOff>118751</xdr:rowOff>
    </xdr:from>
    <xdr:to>
      <xdr:col>55</xdr:col>
      <xdr:colOff>666749</xdr:colOff>
      <xdr:row>81</xdr:row>
      <xdr:rowOff>51711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62B53CCD-97FA-4A1C-A931-0F4DE7CD1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97204" y="3428689"/>
          <a:ext cx="10782733" cy="88626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40181</xdr:colOff>
      <xdr:row>5</xdr:row>
      <xdr:rowOff>78828</xdr:rowOff>
    </xdr:from>
    <xdr:to>
      <xdr:col>38</xdr:col>
      <xdr:colOff>19824</xdr:colOff>
      <xdr:row>64</xdr:row>
      <xdr:rowOff>28018</xdr:rowOff>
    </xdr:to>
    <xdr:grpSp>
      <xdr:nvGrpSpPr>
        <xdr:cNvPr id="178" name="Grupo 177">
          <a:extLst>
            <a:ext uri="{FF2B5EF4-FFF2-40B4-BE49-F238E27FC236}">
              <a16:creationId xmlns:a16="http://schemas.microsoft.com/office/drawing/2014/main" id="{F213263D-8295-9981-C119-3B87A8CDF49C}"/>
            </a:ext>
          </a:extLst>
        </xdr:cNvPr>
        <xdr:cNvGrpSpPr/>
      </xdr:nvGrpSpPr>
      <xdr:grpSpPr>
        <a:xfrm>
          <a:off x="1076501" y="840828"/>
          <a:ext cx="18572443" cy="8963650"/>
          <a:chOff x="1009999" y="858146"/>
          <a:chExt cx="17384416" cy="9162463"/>
        </a:xfrm>
      </xdr:grpSpPr>
      <xdr:cxnSp macro="">
        <xdr:nvCxnSpPr>
          <xdr:cNvPr id="2" name="Conector: angular 1">
            <a:extLst>
              <a:ext uri="{FF2B5EF4-FFF2-40B4-BE49-F238E27FC236}">
                <a16:creationId xmlns:a16="http://schemas.microsoft.com/office/drawing/2014/main" id="{53914D87-DECC-47BC-8A6A-5FC4F02A0F17}"/>
              </a:ext>
            </a:extLst>
          </xdr:cNvPr>
          <xdr:cNvCxnSpPr>
            <a:cxnSpLocks noChangeAspect="1"/>
            <a:stCxn id="91" idx="1"/>
          </xdr:cNvCxnSpPr>
        </xdr:nvCxnSpPr>
        <xdr:spPr>
          <a:xfrm rot="10800000">
            <a:off x="6256009" y="1907202"/>
            <a:ext cx="6189475" cy="288621"/>
          </a:xfrm>
          <a:prstGeom prst="bentConnector3">
            <a:avLst>
              <a:gd name="adj1" fmla="val 100000"/>
            </a:avLst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ADC6DBAF-2BFD-4843-BEC1-9CE6202551E3}"/>
              </a:ext>
            </a:extLst>
          </xdr:cNvPr>
          <xdr:cNvSpPr/>
        </xdr:nvSpPr>
        <xdr:spPr>
          <a:xfrm>
            <a:off x="1788033" y="1358799"/>
            <a:ext cx="902529" cy="55410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Continuos</a:t>
            </a:r>
            <a:r>
              <a:rPr lang="es-CO" sz="1100"/>
              <a:t> </a:t>
            </a:r>
            <a:r>
              <a:rPr lang="en-US" sz="1100"/>
              <a:t>sterilization</a:t>
            </a:r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93EEC67A-E594-4290-AAC1-7FAF732BB428}"/>
              </a:ext>
            </a:extLst>
          </xdr:cNvPr>
          <xdr:cNvSpPr/>
        </xdr:nvSpPr>
        <xdr:spPr>
          <a:xfrm>
            <a:off x="3620224" y="1347645"/>
            <a:ext cx="902529" cy="55410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Threshing</a:t>
            </a:r>
          </a:p>
        </xdr:txBody>
      </xdr: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6C4791DC-8368-4BA0-9CE2-8D224333A3C5}"/>
              </a:ext>
            </a:extLst>
          </xdr:cNvPr>
          <xdr:cNvSpPr/>
        </xdr:nvSpPr>
        <xdr:spPr>
          <a:xfrm>
            <a:off x="5469730" y="1341261"/>
            <a:ext cx="902530" cy="55410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Digestion &amp; pressing</a:t>
            </a:r>
          </a:p>
        </xdr:txBody>
      </xdr:sp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80E17C5E-1172-471B-BB21-CA0005DD684A}"/>
              </a:ext>
            </a:extLst>
          </xdr:cNvPr>
          <xdr:cNvSpPr/>
        </xdr:nvSpPr>
        <xdr:spPr>
          <a:xfrm>
            <a:off x="5469730" y="3441516"/>
            <a:ext cx="902530" cy="55410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Fiber</a:t>
            </a:r>
            <a:r>
              <a:rPr lang="es-CO" sz="1100"/>
              <a:t> &amp; Nuts</a:t>
            </a:r>
          </a:p>
          <a:p>
            <a:pPr algn="ctr"/>
            <a:r>
              <a:rPr lang="en-US" sz="1100"/>
              <a:t>Separation</a:t>
            </a:r>
          </a:p>
        </xdr:txBody>
      </xdr:sp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239E39F8-286F-4FD4-8565-E26E0A9FB9EF}"/>
              </a:ext>
            </a:extLst>
          </xdr:cNvPr>
          <xdr:cNvSpPr/>
        </xdr:nvSpPr>
        <xdr:spPr>
          <a:xfrm>
            <a:off x="9129170" y="1334495"/>
            <a:ext cx="902529" cy="55410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Oil storage</a:t>
            </a:r>
          </a:p>
        </xdr:txBody>
      </xdr:sp>
      <xdr:sp macro="" textlink="">
        <xdr:nvSpPr>
          <xdr:cNvPr id="8" name="Rectángulo 7">
            <a:extLst>
              <a:ext uri="{FF2B5EF4-FFF2-40B4-BE49-F238E27FC236}">
                <a16:creationId xmlns:a16="http://schemas.microsoft.com/office/drawing/2014/main" id="{DBF709B4-80BF-4216-A3CB-A515E1171ABD}"/>
              </a:ext>
            </a:extLst>
          </xdr:cNvPr>
          <xdr:cNvSpPr/>
        </xdr:nvSpPr>
        <xdr:spPr>
          <a:xfrm>
            <a:off x="7231396" y="1334495"/>
            <a:ext cx="960545" cy="55410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Dynamic Clarification</a:t>
            </a:r>
          </a:p>
        </xdr:txBody>
      </xdr:sp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308F5613-3632-4E4D-9604-D55B9262CE00}"/>
              </a:ext>
            </a:extLst>
          </xdr:cNvPr>
          <xdr:cNvSpPr/>
        </xdr:nvSpPr>
        <xdr:spPr>
          <a:xfrm>
            <a:off x="3620224" y="3435451"/>
            <a:ext cx="902529" cy="55410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EFB Pressing</a:t>
            </a:r>
          </a:p>
        </xdr:txBody>
      </xdr:sp>
      <xdr:cxnSp macro="">
        <xdr:nvCxnSpPr>
          <xdr:cNvPr id="10" name="Conector recto de flecha 9">
            <a:extLst>
              <a:ext uri="{FF2B5EF4-FFF2-40B4-BE49-F238E27FC236}">
                <a16:creationId xmlns:a16="http://schemas.microsoft.com/office/drawing/2014/main" id="{A44FCCDA-2C27-4A01-AB20-4D354EDFE2CA}"/>
              </a:ext>
            </a:extLst>
          </xdr:cNvPr>
          <xdr:cNvCxnSpPr>
            <a:cxnSpLocks/>
            <a:endCxn id="3" idx="1"/>
          </xdr:cNvCxnSpPr>
        </xdr:nvCxnSpPr>
        <xdr:spPr>
          <a:xfrm flipV="1">
            <a:off x="1013078" y="1635851"/>
            <a:ext cx="774955" cy="6577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1" name="CuadroTexto 128">
                <a:extLst>
                  <a:ext uri="{FF2B5EF4-FFF2-40B4-BE49-F238E27FC236}">
                    <a16:creationId xmlns:a16="http://schemas.microsoft.com/office/drawing/2014/main" id="{8288A622-D082-4C07-8E8D-A7596ED479FB}"/>
                  </a:ext>
                </a:extLst>
              </xdr:cNvPr>
              <xdr:cNvSpPr txBox="1"/>
            </xdr:nvSpPr>
            <xdr:spPr>
              <a:xfrm>
                <a:off x="1009999" y="1309985"/>
                <a:ext cx="638876" cy="268442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100" i="1">
                          <a:latin typeface="Cambria Math" panose="02040503050406030204" pitchFamily="18" charset="0"/>
                        </a:rPr>
                        <m:t>𝑅𝐹𝐹</m:t>
                      </m:r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11" name="CuadroTexto 128">
                <a:extLst>
                  <a:ext uri="{FF2B5EF4-FFF2-40B4-BE49-F238E27FC236}">
                    <a16:creationId xmlns:a16="http://schemas.microsoft.com/office/drawing/2014/main" id="{8288A622-D082-4C07-8E8D-A7596ED479FB}"/>
                  </a:ext>
                </a:extLst>
              </xdr:cNvPr>
              <xdr:cNvSpPr txBox="1"/>
            </xdr:nvSpPr>
            <xdr:spPr>
              <a:xfrm>
                <a:off x="1009999" y="1309985"/>
                <a:ext cx="638876" cy="268442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𝑅𝐹𝐹</a:t>
                </a:r>
                <a:endParaRPr lang="en-US" sz="1100"/>
              </a:p>
            </xdr:txBody>
          </xdr:sp>
        </mc:Fallback>
      </mc:AlternateContent>
      <xdr:cxnSp macro="">
        <xdr:nvCxnSpPr>
          <xdr:cNvPr id="12" name="Conector recto de flecha 11">
            <a:extLst>
              <a:ext uri="{FF2B5EF4-FFF2-40B4-BE49-F238E27FC236}">
                <a16:creationId xmlns:a16="http://schemas.microsoft.com/office/drawing/2014/main" id="{DF8604AE-D7C5-4418-9AC1-2A2114872AF9}"/>
              </a:ext>
            </a:extLst>
          </xdr:cNvPr>
          <xdr:cNvCxnSpPr>
            <a:cxnSpLocks/>
            <a:stCxn id="6" idx="3"/>
            <a:endCxn id="16" idx="1"/>
          </xdr:cNvCxnSpPr>
        </xdr:nvCxnSpPr>
        <xdr:spPr>
          <a:xfrm flipV="1">
            <a:off x="6372261" y="3718447"/>
            <a:ext cx="859135" cy="120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Conector recto de flecha 12">
            <a:extLst>
              <a:ext uri="{FF2B5EF4-FFF2-40B4-BE49-F238E27FC236}">
                <a16:creationId xmlns:a16="http://schemas.microsoft.com/office/drawing/2014/main" id="{86E264FE-5734-40F1-9EA8-78DD03567DAD}"/>
              </a:ext>
            </a:extLst>
          </xdr:cNvPr>
          <xdr:cNvCxnSpPr>
            <a:cxnSpLocks/>
            <a:stCxn id="5" idx="3"/>
            <a:endCxn id="8" idx="1"/>
          </xdr:cNvCxnSpPr>
        </xdr:nvCxnSpPr>
        <xdr:spPr>
          <a:xfrm flipV="1">
            <a:off x="6372261" y="1611545"/>
            <a:ext cx="859135" cy="6768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Conector recto de flecha 13">
            <a:extLst>
              <a:ext uri="{FF2B5EF4-FFF2-40B4-BE49-F238E27FC236}">
                <a16:creationId xmlns:a16="http://schemas.microsoft.com/office/drawing/2014/main" id="{DF6B5FFE-41F0-4039-BBA5-DEF3BC241AA1}"/>
              </a:ext>
            </a:extLst>
          </xdr:cNvPr>
          <xdr:cNvCxnSpPr>
            <a:cxnSpLocks/>
            <a:stCxn id="5" idx="2"/>
            <a:endCxn id="6" idx="0"/>
          </xdr:cNvCxnSpPr>
        </xdr:nvCxnSpPr>
        <xdr:spPr>
          <a:xfrm>
            <a:off x="5920996" y="1895364"/>
            <a:ext cx="0" cy="1546152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Conector recto de flecha 14">
            <a:extLst>
              <a:ext uri="{FF2B5EF4-FFF2-40B4-BE49-F238E27FC236}">
                <a16:creationId xmlns:a16="http://schemas.microsoft.com/office/drawing/2014/main" id="{67C83478-96DC-4968-B743-3E08EC01EB49}"/>
              </a:ext>
            </a:extLst>
          </xdr:cNvPr>
          <xdr:cNvCxnSpPr>
            <a:cxnSpLocks/>
            <a:stCxn id="4" idx="2"/>
            <a:endCxn id="9" idx="0"/>
          </xdr:cNvCxnSpPr>
        </xdr:nvCxnSpPr>
        <xdr:spPr>
          <a:xfrm>
            <a:off x="4071489" y="1901748"/>
            <a:ext cx="0" cy="1533703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" name="Rectángulo 15">
            <a:extLst>
              <a:ext uri="{FF2B5EF4-FFF2-40B4-BE49-F238E27FC236}">
                <a16:creationId xmlns:a16="http://schemas.microsoft.com/office/drawing/2014/main" id="{C1439DF6-B660-4B57-8C70-2A8422803DAF}"/>
              </a:ext>
            </a:extLst>
          </xdr:cNvPr>
          <xdr:cNvSpPr/>
        </xdr:nvSpPr>
        <xdr:spPr>
          <a:xfrm>
            <a:off x="7231396" y="3441396"/>
            <a:ext cx="960545" cy="55410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Kernel Recovery</a:t>
            </a:r>
          </a:p>
        </xdr:txBody>
      </xdr:sp>
      <xdr:cxnSp macro="">
        <xdr:nvCxnSpPr>
          <xdr:cNvPr id="17" name="Conector recto de flecha 16">
            <a:extLst>
              <a:ext uri="{FF2B5EF4-FFF2-40B4-BE49-F238E27FC236}">
                <a16:creationId xmlns:a16="http://schemas.microsoft.com/office/drawing/2014/main" id="{387A7C95-DFE5-4E38-9D70-701DE8FA8584}"/>
              </a:ext>
            </a:extLst>
          </xdr:cNvPr>
          <xdr:cNvCxnSpPr>
            <a:cxnSpLocks/>
            <a:stCxn id="8" idx="3"/>
            <a:endCxn id="7" idx="1"/>
          </xdr:cNvCxnSpPr>
        </xdr:nvCxnSpPr>
        <xdr:spPr>
          <a:xfrm>
            <a:off x="8191941" y="1611545"/>
            <a:ext cx="937229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Conector recto de flecha 17">
            <a:extLst>
              <a:ext uri="{FF2B5EF4-FFF2-40B4-BE49-F238E27FC236}">
                <a16:creationId xmlns:a16="http://schemas.microsoft.com/office/drawing/2014/main" id="{19E00807-E153-49D5-98DD-43AE0FF30781}"/>
              </a:ext>
            </a:extLst>
          </xdr:cNvPr>
          <xdr:cNvCxnSpPr>
            <a:cxnSpLocks/>
            <a:stCxn id="4" idx="3"/>
            <a:endCxn id="5" idx="1"/>
          </xdr:cNvCxnSpPr>
        </xdr:nvCxnSpPr>
        <xdr:spPr>
          <a:xfrm flipV="1">
            <a:off x="4522753" y="1618313"/>
            <a:ext cx="946977" cy="6384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Conector recto de flecha 18">
            <a:extLst>
              <a:ext uri="{FF2B5EF4-FFF2-40B4-BE49-F238E27FC236}">
                <a16:creationId xmlns:a16="http://schemas.microsoft.com/office/drawing/2014/main" id="{9B353BDC-809B-4C6F-A1AE-821747CD327E}"/>
              </a:ext>
            </a:extLst>
          </xdr:cNvPr>
          <xdr:cNvCxnSpPr>
            <a:cxnSpLocks/>
            <a:stCxn id="3" idx="3"/>
            <a:endCxn id="4" idx="1"/>
          </xdr:cNvCxnSpPr>
        </xdr:nvCxnSpPr>
        <xdr:spPr>
          <a:xfrm flipV="1">
            <a:off x="2690562" y="1624697"/>
            <a:ext cx="929662" cy="1115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" name="Rectángulo 19">
            <a:extLst>
              <a:ext uri="{FF2B5EF4-FFF2-40B4-BE49-F238E27FC236}">
                <a16:creationId xmlns:a16="http://schemas.microsoft.com/office/drawing/2014/main" id="{F3718819-EDA1-4ACE-8FE7-68F0E74903F3}"/>
              </a:ext>
            </a:extLst>
          </xdr:cNvPr>
          <xdr:cNvSpPr/>
        </xdr:nvSpPr>
        <xdr:spPr>
          <a:xfrm>
            <a:off x="1775383" y="4478665"/>
            <a:ext cx="902529" cy="554102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Deoiling </a:t>
            </a:r>
            <a:r>
              <a:rPr lang="es-CO" sz="1100"/>
              <a:t>&amp; Sand trap</a:t>
            </a:r>
            <a:endParaRPr lang="en-US" sz="1100"/>
          </a:p>
        </xdr:txBody>
      </xdr:sp>
      <xdr:cxnSp macro="">
        <xdr:nvCxnSpPr>
          <xdr:cNvPr id="21" name="Conector recto de flecha 20">
            <a:extLst>
              <a:ext uri="{FF2B5EF4-FFF2-40B4-BE49-F238E27FC236}">
                <a16:creationId xmlns:a16="http://schemas.microsoft.com/office/drawing/2014/main" id="{832AEC39-32EC-4222-A6B3-941D412B0EB1}"/>
              </a:ext>
            </a:extLst>
          </xdr:cNvPr>
          <xdr:cNvCxnSpPr>
            <a:stCxn id="3" idx="2"/>
            <a:endCxn id="20" idx="0"/>
          </xdr:cNvCxnSpPr>
        </xdr:nvCxnSpPr>
        <xdr:spPr>
          <a:xfrm flipH="1">
            <a:off x="2226648" y="1912902"/>
            <a:ext cx="12650" cy="2565763"/>
          </a:xfrm>
          <a:prstGeom prst="straightConnector1">
            <a:avLst/>
          </a:prstGeom>
          <a:ln w="19050">
            <a:prstDash val="dash"/>
            <a:headEnd type="none" w="med" len="med"/>
            <a:tailEnd type="triangle" w="med" len="med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2" name="Conector: angular 21">
            <a:extLst>
              <a:ext uri="{FF2B5EF4-FFF2-40B4-BE49-F238E27FC236}">
                <a16:creationId xmlns:a16="http://schemas.microsoft.com/office/drawing/2014/main" id="{343ECDB9-B8FE-4B1E-8234-972B81A0FC9E}"/>
              </a:ext>
            </a:extLst>
          </xdr:cNvPr>
          <xdr:cNvCxnSpPr>
            <a:stCxn id="8" idx="2"/>
          </xdr:cNvCxnSpPr>
        </xdr:nvCxnSpPr>
        <xdr:spPr>
          <a:xfrm rot="5400000">
            <a:off x="6035798" y="840384"/>
            <a:ext cx="628089" cy="2724517"/>
          </a:xfrm>
          <a:prstGeom prst="bentConnector2">
            <a:avLst/>
          </a:prstGeom>
          <a:ln w="19050" cap="flat" cmpd="sng" algn="ctr">
            <a:solidFill>
              <a:schemeClr val="accent2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3" name="Conector: angular 22">
            <a:extLst>
              <a:ext uri="{FF2B5EF4-FFF2-40B4-BE49-F238E27FC236}">
                <a16:creationId xmlns:a16="http://schemas.microsoft.com/office/drawing/2014/main" id="{8C85F62A-2793-466D-A666-A65FB4E8E1B6}"/>
              </a:ext>
            </a:extLst>
          </xdr:cNvPr>
          <xdr:cNvCxnSpPr>
            <a:cxnSpLocks/>
            <a:endCxn id="20" idx="3"/>
          </xdr:cNvCxnSpPr>
        </xdr:nvCxnSpPr>
        <xdr:spPr>
          <a:xfrm rot="10800000" flipV="1">
            <a:off x="2677913" y="2505893"/>
            <a:ext cx="2309674" cy="2249823"/>
          </a:xfrm>
          <a:prstGeom prst="bentConnector3">
            <a:avLst>
              <a:gd name="adj1" fmla="val 81447"/>
            </a:avLst>
          </a:prstGeom>
          <a:ln w="19050" cap="flat" cmpd="sng" algn="ctr">
            <a:solidFill>
              <a:schemeClr val="accent2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4" name="Conector: angular 23">
            <a:extLst>
              <a:ext uri="{FF2B5EF4-FFF2-40B4-BE49-F238E27FC236}">
                <a16:creationId xmlns:a16="http://schemas.microsoft.com/office/drawing/2014/main" id="{2587C6A0-E9D0-479C-95D1-AF5479911188}"/>
              </a:ext>
            </a:extLst>
          </xdr:cNvPr>
          <xdr:cNvCxnSpPr>
            <a:cxnSpLocks/>
            <a:stCxn id="20" idx="2"/>
            <a:endCxn id="67" idx="3"/>
          </xdr:cNvCxnSpPr>
        </xdr:nvCxnSpPr>
        <xdr:spPr>
          <a:xfrm rot="16200000" flipH="1">
            <a:off x="1585779" y="5673636"/>
            <a:ext cx="2671093" cy="1389354"/>
          </a:xfrm>
          <a:prstGeom prst="bentConnector2">
            <a:avLst/>
          </a:prstGeom>
          <a:ln w="19050" cap="flat" cmpd="sng" algn="ctr">
            <a:solidFill>
              <a:schemeClr val="accent2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25" name="Conector: angular 24">
            <a:extLst>
              <a:ext uri="{FF2B5EF4-FFF2-40B4-BE49-F238E27FC236}">
                <a16:creationId xmlns:a16="http://schemas.microsoft.com/office/drawing/2014/main" id="{FB6F4944-EDC1-4733-823C-F2AD5AA5906A}"/>
              </a:ext>
            </a:extLst>
          </xdr:cNvPr>
          <xdr:cNvCxnSpPr>
            <a:cxnSpLocks/>
          </xdr:cNvCxnSpPr>
        </xdr:nvCxnSpPr>
        <xdr:spPr>
          <a:xfrm rot="10800000" flipV="1">
            <a:off x="2492923" y="913788"/>
            <a:ext cx="8403269" cy="438626"/>
          </a:xfrm>
          <a:prstGeom prst="bentConnector3">
            <a:avLst>
              <a:gd name="adj1" fmla="val 99949"/>
            </a:avLst>
          </a:prstGeom>
          <a:ln w="190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6" name="CuadroTexto 49">
                <a:extLst>
                  <a:ext uri="{FF2B5EF4-FFF2-40B4-BE49-F238E27FC236}">
                    <a16:creationId xmlns:a16="http://schemas.microsoft.com/office/drawing/2014/main" id="{7F2D7A11-9E33-48B1-8BA8-ECE67E2FA243}"/>
                  </a:ext>
                </a:extLst>
              </xdr:cNvPr>
              <xdr:cNvSpPr txBox="1"/>
            </xdr:nvSpPr>
            <xdr:spPr>
              <a:xfrm flipH="1">
                <a:off x="14494753" y="2022135"/>
                <a:ext cx="628485" cy="4145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0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0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00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e>
                          </m:acc>
                        </m:e>
                        <m:sub>
                          <m:r>
                            <a:rPr lang="es-CO" sz="1000" i="1">
                              <a:latin typeface="Cambria Math" panose="02040503050406030204" pitchFamily="18" charset="0"/>
                            </a:rPr>
                            <m:t>𝑖𝑛</m:t>
                          </m:r>
                        </m:sub>
                      </m:sSub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26" name="CuadroTexto 49">
                <a:extLst>
                  <a:ext uri="{FF2B5EF4-FFF2-40B4-BE49-F238E27FC236}">
                    <a16:creationId xmlns:a16="http://schemas.microsoft.com/office/drawing/2014/main" id="{7F2D7A11-9E33-48B1-8BA8-ECE67E2FA243}"/>
                  </a:ext>
                </a:extLst>
              </xdr:cNvPr>
              <xdr:cNvSpPr txBox="1"/>
            </xdr:nvSpPr>
            <xdr:spPr>
              <a:xfrm flipH="1">
                <a:off x="14494753" y="2022135"/>
                <a:ext cx="628485" cy="4145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𝑄</a:t>
                </a:r>
                <a:r>
                  <a:rPr lang="en-US" sz="1000" i="0">
                    <a:latin typeface="Cambria Math" panose="02040503050406030204" pitchFamily="18" charset="0"/>
                  </a:rPr>
                  <a:t> ̇_</a:t>
                </a:r>
                <a:r>
                  <a:rPr lang="es-CO" sz="1000" i="0">
                    <a:latin typeface="Cambria Math" panose="02040503050406030204" pitchFamily="18" charset="0"/>
                  </a:rPr>
                  <a:t>𝑖𝑛</a:t>
                </a:r>
                <a:endParaRPr lang="en-US" sz="10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7" name="CuadroTexto 50">
                <a:extLst>
                  <a:ext uri="{FF2B5EF4-FFF2-40B4-BE49-F238E27FC236}">
                    <a16:creationId xmlns:a16="http://schemas.microsoft.com/office/drawing/2014/main" id="{FF478171-72CE-482D-9DCF-6303C34DFAEF}"/>
                  </a:ext>
                </a:extLst>
              </xdr:cNvPr>
              <xdr:cNvSpPr txBox="1"/>
            </xdr:nvSpPr>
            <xdr:spPr>
              <a:xfrm flipH="1">
                <a:off x="15765934" y="1709366"/>
                <a:ext cx="638876" cy="252651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000" i="1">
                          <a:latin typeface="Cambria Math" panose="02040503050406030204" pitchFamily="18" charset="0"/>
                        </a:rPr>
                        <m:t>𝐹𝑊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𝑃𝑢𝑚𝑝</m:t>
                      </m:r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27" name="CuadroTexto 50">
                <a:extLst>
                  <a:ext uri="{FF2B5EF4-FFF2-40B4-BE49-F238E27FC236}">
                    <a16:creationId xmlns:a16="http://schemas.microsoft.com/office/drawing/2014/main" id="{FF478171-72CE-482D-9DCF-6303C34DFAEF}"/>
                  </a:ext>
                </a:extLst>
              </xdr:cNvPr>
              <xdr:cNvSpPr txBox="1"/>
            </xdr:nvSpPr>
            <xdr:spPr>
              <a:xfrm flipH="1">
                <a:off x="15765934" y="1709366"/>
                <a:ext cx="638876" cy="252651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𝐹𝑊 𝑃𝑢𝑚𝑝</a:t>
                </a:r>
                <a:endParaRPr lang="en-US" sz="1000"/>
              </a:p>
            </xdr:txBody>
          </xdr:sp>
        </mc:Fallback>
      </mc:AlternateContent>
      <xdr:grpSp>
        <xdr:nvGrpSpPr>
          <xdr:cNvPr id="28" name="Grupo 27">
            <a:extLst>
              <a:ext uri="{FF2B5EF4-FFF2-40B4-BE49-F238E27FC236}">
                <a16:creationId xmlns:a16="http://schemas.microsoft.com/office/drawing/2014/main" id="{27343B3D-887E-4446-864F-0857ED8016F6}"/>
              </a:ext>
            </a:extLst>
          </xdr:cNvPr>
          <xdr:cNvGrpSpPr/>
        </xdr:nvGrpSpPr>
        <xdr:grpSpPr>
          <a:xfrm>
            <a:off x="10426636" y="5093900"/>
            <a:ext cx="1342629" cy="1290736"/>
            <a:chOff x="8940418" y="3735478"/>
            <a:chExt cx="1608790" cy="1257886"/>
          </a:xfrm>
        </xdr:grpSpPr>
        <xdr:sp macro="" textlink="">
          <xdr:nvSpPr>
            <xdr:cNvPr id="29" name="Rectángulo 28">
              <a:extLst>
                <a:ext uri="{FF2B5EF4-FFF2-40B4-BE49-F238E27FC236}">
                  <a16:creationId xmlns:a16="http://schemas.microsoft.com/office/drawing/2014/main" id="{B29C7120-27E6-E65E-B3AB-B387EB83F423}"/>
                </a:ext>
              </a:extLst>
            </xdr:cNvPr>
            <xdr:cNvSpPr/>
          </xdr:nvSpPr>
          <xdr:spPr>
            <a:xfrm flipH="1">
              <a:off x="10333208" y="3735478"/>
              <a:ext cx="216000" cy="72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CO" sz="1200"/>
                <a:t>BPV</a:t>
              </a:r>
            </a:p>
          </xdr:txBody>
        </xdr:sp>
        <xdr:grpSp>
          <xdr:nvGrpSpPr>
            <xdr:cNvPr id="30" name="Grupo 29">
              <a:extLst>
                <a:ext uri="{FF2B5EF4-FFF2-40B4-BE49-F238E27FC236}">
                  <a16:creationId xmlns:a16="http://schemas.microsoft.com/office/drawing/2014/main" id="{C336BBC6-3152-7F99-4920-EB57322539C6}"/>
                </a:ext>
              </a:extLst>
            </xdr:cNvPr>
            <xdr:cNvGrpSpPr/>
          </xdr:nvGrpSpPr>
          <xdr:grpSpPr>
            <a:xfrm flipH="1">
              <a:off x="9465547" y="4262287"/>
              <a:ext cx="858116" cy="403429"/>
              <a:chOff x="10263949" y="4535578"/>
              <a:chExt cx="858116" cy="403429"/>
            </a:xfrm>
          </xdr:grpSpPr>
          <xdr:cxnSp macro="">
            <xdr:nvCxnSpPr>
              <xdr:cNvPr id="33" name="Conector recto de flecha 32">
                <a:extLst>
                  <a:ext uri="{FF2B5EF4-FFF2-40B4-BE49-F238E27FC236}">
                    <a16:creationId xmlns:a16="http://schemas.microsoft.com/office/drawing/2014/main" id="{47E167BE-10BC-B06E-44EC-C53C241D6B8C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10263949" y="4599074"/>
                <a:ext cx="282969" cy="0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34" name="Grupo 33">
                <a:extLst>
                  <a:ext uri="{FF2B5EF4-FFF2-40B4-BE49-F238E27FC236}">
                    <a16:creationId xmlns:a16="http://schemas.microsoft.com/office/drawing/2014/main" id="{F8400210-892E-B80A-047B-DB7B698646BA}"/>
                  </a:ext>
                </a:extLst>
              </xdr:cNvPr>
              <xdr:cNvGrpSpPr/>
            </xdr:nvGrpSpPr>
            <xdr:grpSpPr>
              <a:xfrm flipH="1">
                <a:off x="10528235" y="4535578"/>
                <a:ext cx="483891" cy="143735"/>
                <a:chOff x="3263644" y="1931785"/>
                <a:chExt cx="483891" cy="143735"/>
              </a:xfrm>
            </xdr:grpSpPr>
            <xdr:grpSp>
              <xdr:nvGrpSpPr>
                <xdr:cNvPr id="36" name="Grupo 35">
                  <a:extLst>
                    <a:ext uri="{FF2B5EF4-FFF2-40B4-BE49-F238E27FC236}">
                      <a16:creationId xmlns:a16="http://schemas.microsoft.com/office/drawing/2014/main" id="{6814183F-5D80-24AB-D75E-D99BBC94A233}"/>
                    </a:ext>
                  </a:extLst>
                </xdr:cNvPr>
                <xdr:cNvGrpSpPr/>
              </xdr:nvGrpSpPr>
              <xdr:grpSpPr>
                <a:xfrm>
                  <a:off x="3263644" y="1931785"/>
                  <a:ext cx="470334" cy="143735"/>
                  <a:chOff x="5379244" y="2570206"/>
                  <a:chExt cx="470334" cy="150170"/>
                </a:xfrm>
              </xdr:grpSpPr>
              <xdr:cxnSp macro="">
                <xdr:nvCxnSpPr>
                  <xdr:cNvPr id="38" name="Conector recto 37">
                    <a:extLst>
                      <a:ext uri="{FF2B5EF4-FFF2-40B4-BE49-F238E27FC236}">
                        <a16:creationId xmlns:a16="http://schemas.microsoft.com/office/drawing/2014/main" id="{972CF0B5-9E58-AE53-458E-0DB9F55E8779}"/>
                      </a:ext>
                    </a:extLst>
                  </xdr:cNvPr>
                  <xdr:cNvCxnSpPr/>
                </xdr:nvCxnSpPr>
                <xdr:spPr>
                  <a:xfrm>
                    <a:off x="5744803" y="2572828"/>
                    <a:ext cx="0" cy="144000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9" name="Conector recto 38">
                    <a:extLst>
                      <a:ext uri="{FF2B5EF4-FFF2-40B4-BE49-F238E27FC236}">
                        <a16:creationId xmlns:a16="http://schemas.microsoft.com/office/drawing/2014/main" id="{6EA450DC-C6F2-9A3F-1538-AC8ED59D3EC4}"/>
                      </a:ext>
                    </a:extLst>
                  </xdr:cNvPr>
                  <xdr:cNvCxnSpPr/>
                </xdr:nvCxnSpPr>
                <xdr:spPr>
                  <a:xfrm>
                    <a:off x="5379244" y="2706225"/>
                    <a:ext cx="0" cy="0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0" name="Conector recto 39">
                    <a:extLst>
                      <a:ext uri="{FF2B5EF4-FFF2-40B4-BE49-F238E27FC236}">
                        <a16:creationId xmlns:a16="http://schemas.microsoft.com/office/drawing/2014/main" id="{221B7606-0FA5-D1F9-92FB-CA9794CD8FD0}"/>
                      </a:ext>
                    </a:extLst>
                  </xdr:cNvPr>
                  <xdr:cNvCxnSpPr/>
                </xdr:nvCxnSpPr>
                <xdr:spPr>
                  <a:xfrm flipV="1">
                    <a:off x="5744804" y="2576375"/>
                    <a:ext cx="52387" cy="144001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1" name="Conector recto 40">
                    <a:extLst>
                      <a:ext uri="{FF2B5EF4-FFF2-40B4-BE49-F238E27FC236}">
                        <a16:creationId xmlns:a16="http://schemas.microsoft.com/office/drawing/2014/main" id="{1DCAB27A-7C13-64F2-E1BE-B7235C4243F9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797192" y="2572828"/>
                    <a:ext cx="0" cy="144000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2" name="Conector recto 41">
                    <a:extLst>
                      <a:ext uri="{FF2B5EF4-FFF2-40B4-BE49-F238E27FC236}">
                        <a16:creationId xmlns:a16="http://schemas.microsoft.com/office/drawing/2014/main" id="{4401FF0F-597F-28BC-EEF9-D9281EAAD144}"/>
                      </a:ext>
                    </a:extLst>
                  </xdr:cNvPr>
                  <xdr:cNvCxnSpPr/>
                </xdr:nvCxnSpPr>
                <xdr:spPr>
                  <a:xfrm flipV="1">
                    <a:off x="5793774" y="2570206"/>
                    <a:ext cx="52387" cy="144001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3" name="Conector recto 42">
                    <a:extLst>
                      <a:ext uri="{FF2B5EF4-FFF2-40B4-BE49-F238E27FC236}">
                        <a16:creationId xmlns:a16="http://schemas.microsoft.com/office/drawing/2014/main" id="{37253485-4409-7EEE-94B0-C045769884B0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49578" y="2570213"/>
                    <a:ext cx="0" cy="144000"/>
                  </a:xfrm>
                  <a:prstGeom prst="line">
                    <a:avLst/>
                  </a:prstGeom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37" name="Conector recto 36">
                  <a:extLst>
                    <a:ext uri="{FF2B5EF4-FFF2-40B4-BE49-F238E27FC236}">
                      <a16:creationId xmlns:a16="http://schemas.microsoft.com/office/drawing/2014/main" id="{93FEB6C3-BE97-BEE3-61F3-5837769F0C2E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567537" y="2000699"/>
                  <a:ext cx="179998" cy="0"/>
                </a:xfrm>
                <a:prstGeom prst="line">
                  <a:avLst/>
                </a:prstGeom>
              </xdr:spPr>
              <xdr:style>
                <a:lnRef idx="2">
                  <a:schemeClr val="dk1"/>
                </a:lnRef>
                <a:fillRef idx="0">
                  <a:schemeClr val="dk1"/>
                </a:fillRef>
                <a:effectRef idx="1">
                  <a:schemeClr val="dk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35" name="Conector: angular 34">
                <a:extLst>
                  <a:ext uri="{FF2B5EF4-FFF2-40B4-BE49-F238E27FC236}">
                    <a16:creationId xmlns:a16="http://schemas.microsoft.com/office/drawing/2014/main" id="{2C8D7D0A-5E7D-BCCC-67E6-766C68E36B51}"/>
                  </a:ext>
                </a:extLst>
              </xdr:cNvPr>
              <xdr:cNvCxnSpPr>
                <a:cxnSpLocks/>
              </xdr:cNvCxnSpPr>
            </xdr:nvCxnSpPr>
            <xdr:spPr>
              <a:xfrm rot="10800000" flipH="1" flipV="1">
                <a:off x="10535012" y="4597948"/>
                <a:ext cx="587053" cy="341059"/>
              </a:xfrm>
              <a:prstGeom prst="bentConnector3">
                <a:avLst>
                  <a:gd name="adj1" fmla="val 533"/>
                </a:avLst>
              </a:prstGeom>
              <a:ln>
                <a:headEnd type="triangle"/>
                <a:tailEnd type="triangle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1" name="CuadroTexto 94">
                  <a:extLst>
                    <a:ext uri="{FF2B5EF4-FFF2-40B4-BE49-F238E27FC236}">
                      <a16:creationId xmlns:a16="http://schemas.microsoft.com/office/drawing/2014/main" id="{94F0F419-2512-B786-D40B-21A8E05C249F}"/>
                    </a:ext>
                  </a:extLst>
                </xdr:cNvPr>
                <xdr:cNvSpPr txBox="1"/>
              </xdr:nvSpPr>
              <xdr:spPr>
                <a:xfrm flipH="1">
                  <a:off x="9399650" y="4741307"/>
                  <a:ext cx="728359" cy="25205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̇"/>
                                <m:ctrlPr>
                                  <a:rPr lang="en-US" sz="10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100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</m:acc>
                          </m:e>
                          <m:sub>
                            <m:r>
                              <a:rPr lang="es-CO" sz="1000" i="1">
                                <a:latin typeface="Cambria Math" panose="02040503050406030204" pitchFamily="18" charset="0"/>
                              </a:rPr>
                              <m:t>𝑣𝑒𝑛𝑡</m:t>
                            </m:r>
                          </m:sub>
                        </m:sSub>
                      </m:oMath>
                    </m:oMathPara>
                  </a14:m>
                  <a:endParaRPr lang="en-US" sz="1000"/>
                </a:p>
              </xdr:txBody>
            </xdr:sp>
          </mc:Choice>
          <mc:Fallback xmlns="">
            <xdr:sp macro="" textlink="">
              <xdr:nvSpPr>
                <xdr:cNvPr id="31" name="CuadroTexto 94">
                  <a:extLst>
                    <a:ext uri="{FF2B5EF4-FFF2-40B4-BE49-F238E27FC236}">
                      <a16:creationId xmlns:a16="http://schemas.microsoft.com/office/drawing/2014/main" id="{94F0F419-2512-B786-D40B-21A8E05C249F}"/>
                    </a:ext>
                  </a:extLst>
                </xdr:cNvPr>
                <xdr:cNvSpPr txBox="1"/>
              </xdr:nvSpPr>
              <xdr:spPr>
                <a:xfrm flipH="1">
                  <a:off x="9399650" y="4741307"/>
                  <a:ext cx="728359" cy="25205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000" i="0">
                      <a:latin typeface="Cambria Math" panose="02040503050406030204" pitchFamily="18" charset="0"/>
                    </a:rPr>
                    <a:t>𝑄</a:t>
                  </a:r>
                  <a:r>
                    <a:rPr lang="en-US" sz="1000" i="0">
                      <a:latin typeface="Cambria Math" panose="02040503050406030204" pitchFamily="18" charset="0"/>
                    </a:rPr>
                    <a:t> ̇_</a:t>
                  </a:r>
                  <a:r>
                    <a:rPr lang="es-CO" sz="1000" i="0">
                      <a:latin typeface="Cambria Math" panose="02040503050406030204" pitchFamily="18" charset="0"/>
                    </a:rPr>
                    <a:t>𝑣𝑒𝑛𝑡</a:t>
                  </a:r>
                  <a:endParaRPr lang="en-US" sz="10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2" name="CuadroTexto 95">
                  <a:extLst>
                    <a:ext uri="{FF2B5EF4-FFF2-40B4-BE49-F238E27FC236}">
                      <a16:creationId xmlns:a16="http://schemas.microsoft.com/office/drawing/2014/main" id="{437721DA-4D83-07AE-8FDF-EBADC79E0944}"/>
                    </a:ext>
                  </a:extLst>
                </xdr:cNvPr>
                <xdr:cNvSpPr txBox="1"/>
              </xdr:nvSpPr>
              <xdr:spPr>
                <a:xfrm flipH="1">
                  <a:off x="8940418" y="4298883"/>
                  <a:ext cx="728359" cy="24622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CO" sz="1000" i="1">
                            <a:latin typeface="Cambria Math" panose="02040503050406030204" pitchFamily="18" charset="0"/>
                          </a:rPr>
                          <m:t>𝑆𝑡𝑒𝑎𝑚</m:t>
                        </m:r>
                        <m:r>
                          <a:rPr lang="es-CO" sz="100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CO" sz="1000" i="1">
                            <a:latin typeface="Cambria Math" panose="02040503050406030204" pitchFamily="18" charset="0"/>
                          </a:rPr>
                          <m:t>𝑣𝑒𝑛𝑡</m:t>
                        </m:r>
                      </m:oMath>
                    </m:oMathPara>
                  </a14:m>
                  <a:endParaRPr lang="en-US" sz="1000"/>
                </a:p>
              </xdr:txBody>
            </xdr:sp>
          </mc:Choice>
          <mc:Fallback xmlns="">
            <xdr:sp macro="" textlink="">
              <xdr:nvSpPr>
                <xdr:cNvPr id="32" name="CuadroTexto 95">
                  <a:extLst>
                    <a:ext uri="{FF2B5EF4-FFF2-40B4-BE49-F238E27FC236}">
                      <a16:creationId xmlns:a16="http://schemas.microsoft.com/office/drawing/2014/main" id="{437721DA-4D83-07AE-8FDF-EBADC79E0944}"/>
                    </a:ext>
                  </a:extLst>
                </xdr:cNvPr>
                <xdr:cNvSpPr txBox="1"/>
              </xdr:nvSpPr>
              <xdr:spPr>
                <a:xfrm flipH="1">
                  <a:off x="8940418" y="4298883"/>
                  <a:ext cx="728359" cy="24622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000" i="0">
                      <a:latin typeface="Cambria Math" panose="02040503050406030204" pitchFamily="18" charset="0"/>
                    </a:rPr>
                    <a:t>𝑆𝑡𝑒𝑎𝑚 𝑣𝑒𝑛𝑡</a:t>
                  </a:r>
                  <a:endParaRPr lang="en-US" sz="1000"/>
                </a:p>
              </xdr:txBody>
            </xdr:sp>
          </mc:Fallback>
        </mc:AlternateContent>
      </xdr:grpSp>
      <xdr:sp macro="" textlink="">
        <xdr:nvSpPr>
          <xdr:cNvPr id="44" name="Trapecio 43">
            <a:extLst>
              <a:ext uri="{FF2B5EF4-FFF2-40B4-BE49-F238E27FC236}">
                <a16:creationId xmlns:a16="http://schemas.microsoft.com/office/drawing/2014/main" id="{F34E2C50-6052-4FDE-99B4-2D9606DD2392}"/>
              </a:ext>
            </a:extLst>
          </xdr:cNvPr>
          <xdr:cNvSpPr/>
        </xdr:nvSpPr>
        <xdr:spPr>
          <a:xfrm rot="16200000">
            <a:off x="15096979" y="4412383"/>
            <a:ext cx="738803" cy="522979"/>
          </a:xfrm>
          <a:prstGeom prst="trapezoid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="vert"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 b="1"/>
              <a:t>ECST</a:t>
            </a:r>
          </a:p>
        </xdr:txBody>
      </xdr:sp>
      <xdr:sp macro="" textlink="">
        <xdr:nvSpPr>
          <xdr:cNvPr id="45" name="Elipse 44">
            <a:extLst>
              <a:ext uri="{FF2B5EF4-FFF2-40B4-BE49-F238E27FC236}">
                <a16:creationId xmlns:a16="http://schemas.microsoft.com/office/drawing/2014/main" id="{F9523E37-171D-40D6-9B2B-10BD86320C6A}"/>
              </a:ext>
            </a:extLst>
          </xdr:cNvPr>
          <xdr:cNvSpPr/>
        </xdr:nvSpPr>
        <xdr:spPr>
          <a:xfrm>
            <a:off x="16182222" y="4450941"/>
            <a:ext cx="343694" cy="443282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G</a:t>
            </a:r>
          </a:p>
        </xdr:txBody>
      </xdr:sp>
      <xdr:cxnSp macro="">
        <xdr:nvCxnSpPr>
          <xdr:cNvPr id="46" name="Conector recto 45">
            <a:extLst>
              <a:ext uri="{FF2B5EF4-FFF2-40B4-BE49-F238E27FC236}">
                <a16:creationId xmlns:a16="http://schemas.microsoft.com/office/drawing/2014/main" id="{BA2C4804-566C-4F80-AE1C-C0A28B26B9B2}"/>
              </a:ext>
            </a:extLst>
          </xdr:cNvPr>
          <xdr:cNvCxnSpPr>
            <a:stCxn id="44" idx="2"/>
            <a:endCxn id="44" idx="2"/>
          </xdr:cNvCxnSpPr>
        </xdr:nvCxnSpPr>
        <xdr:spPr>
          <a:xfrm>
            <a:off x="15727870" y="4673872"/>
            <a:ext cx="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Conector recto 46">
            <a:extLst>
              <a:ext uri="{FF2B5EF4-FFF2-40B4-BE49-F238E27FC236}">
                <a16:creationId xmlns:a16="http://schemas.microsoft.com/office/drawing/2014/main" id="{58C3BC77-1844-48A9-80F1-2AA762C2D58D}"/>
              </a:ext>
            </a:extLst>
          </xdr:cNvPr>
          <xdr:cNvCxnSpPr>
            <a:stCxn id="44" idx="2"/>
            <a:endCxn id="45" idx="2"/>
          </xdr:cNvCxnSpPr>
        </xdr:nvCxnSpPr>
        <xdr:spPr>
          <a:xfrm flipV="1">
            <a:off x="15727870" y="4672581"/>
            <a:ext cx="454352" cy="1292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48" name="Grupo 47">
            <a:extLst>
              <a:ext uri="{FF2B5EF4-FFF2-40B4-BE49-F238E27FC236}">
                <a16:creationId xmlns:a16="http://schemas.microsoft.com/office/drawing/2014/main" id="{CC118765-B485-48DC-AFB2-C7AC9D2487EC}"/>
              </a:ext>
            </a:extLst>
          </xdr:cNvPr>
          <xdr:cNvGrpSpPr/>
        </xdr:nvGrpSpPr>
        <xdr:grpSpPr>
          <a:xfrm>
            <a:off x="15950717" y="4598700"/>
            <a:ext cx="0" cy="147761"/>
            <a:chOff x="5663565" y="696057"/>
            <a:chExt cx="28575" cy="144000"/>
          </a:xfrm>
        </xdr:grpSpPr>
        <xdr:cxnSp macro="">
          <xdr:nvCxnSpPr>
            <xdr:cNvPr id="49" name="Conector recto 48">
              <a:extLst>
                <a:ext uri="{FF2B5EF4-FFF2-40B4-BE49-F238E27FC236}">
                  <a16:creationId xmlns:a16="http://schemas.microsoft.com/office/drawing/2014/main" id="{25B34AAF-9A29-381D-DA0F-1C01EE64A4A6}"/>
                </a:ext>
              </a:extLst>
            </xdr:cNvPr>
            <xdr:cNvCxnSpPr/>
          </xdr:nvCxnSpPr>
          <xdr:spPr>
            <a:xfrm>
              <a:off x="5663565" y="696057"/>
              <a:ext cx="0" cy="144000"/>
            </a:xfrm>
            <a:prstGeom prst="line">
              <a:avLst/>
            </a:prstGeom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0" name="Conector recto 49">
              <a:extLst>
                <a:ext uri="{FF2B5EF4-FFF2-40B4-BE49-F238E27FC236}">
                  <a16:creationId xmlns:a16="http://schemas.microsoft.com/office/drawing/2014/main" id="{A2EE1A65-0C38-4E53-AE07-80B9D4BCAF5C}"/>
                </a:ext>
              </a:extLst>
            </xdr:cNvPr>
            <xdr:cNvCxnSpPr/>
          </xdr:nvCxnSpPr>
          <xdr:spPr>
            <a:xfrm>
              <a:off x="5692140" y="696057"/>
              <a:ext cx="0" cy="144000"/>
            </a:xfrm>
            <a:prstGeom prst="line">
              <a:avLst/>
            </a:prstGeom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1" name="Conector recto de flecha 50">
            <a:extLst>
              <a:ext uri="{FF2B5EF4-FFF2-40B4-BE49-F238E27FC236}">
                <a16:creationId xmlns:a16="http://schemas.microsoft.com/office/drawing/2014/main" id="{28211EA8-B746-4D79-992A-DD7B3108A6DA}"/>
              </a:ext>
            </a:extLst>
          </xdr:cNvPr>
          <xdr:cNvCxnSpPr>
            <a:cxnSpLocks/>
            <a:stCxn id="45" idx="6"/>
          </xdr:cNvCxnSpPr>
        </xdr:nvCxnSpPr>
        <xdr:spPr>
          <a:xfrm>
            <a:off x="16525916" y="4672581"/>
            <a:ext cx="1195843" cy="0"/>
          </a:xfrm>
          <a:prstGeom prst="straightConnector1">
            <a:avLst/>
          </a:prstGeom>
          <a:ln w="19050" cap="flat" cmpd="sng" algn="ctr">
            <a:solidFill>
              <a:schemeClr val="accent4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52" name="Conector recto de flecha 51">
            <a:extLst>
              <a:ext uri="{FF2B5EF4-FFF2-40B4-BE49-F238E27FC236}">
                <a16:creationId xmlns:a16="http://schemas.microsoft.com/office/drawing/2014/main" id="{F8B73888-EC35-4EEF-96FA-4D5C85CFB367}"/>
              </a:ext>
            </a:extLst>
          </xdr:cNvPr>
          <xdr:cNvCxnSpPr/>
        </xdr:nvCxnSpPr>
        <xdr:spPr>
          <a:xfrm flipV="1">
            <a:off x="16990748" y="4075061"/>
            <a:ext cx="0" cy="597520"/>
          </a:xfrm>
          <a:prstGeom prst="straightConnector1">
            <a:avLst/>
          </a:prstGeom>
          <a:ln w="19050" cap="flat" cmpd="sng" algn="ctr">
            <a:solidFill>
              <a:schemeClr val="accent4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3" name="CuadroTexto 62">
                <a:extLst>
                  <a:ext uri="{FF2B5EF4-FFF2-40B4-BE49-F238E27FC236}">
                    <a16:creationId xmlns:a16="http://schemas.microsoft.com/office/drawing/2014/main" id="{C4E510A3-A5E3-4C8A-BE60-FEBD7E365BFF}"/>
                  </a:ext>
                </a:extLst>
              </xdr:cNvPr>
              <xdr:cNvSpPr txBox="1"/>
            </xdr:nvSpPr>
            <xdr:spPr>
              <a:xfrm>
                <a:off x="16690341" y="3765669"/>
                <a:ext cx="638876" cy="273905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𝑎𝑢𝑥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53" name="CuadroTexto 62">
                <a:extLst>
                  <a:ext uri="{FF2B5EF4-FFF2-40B4-BE49-F238E27FC236}">
                    <a16:creationId xmlns:a16="http://schemas.microsoft.com/office/drawing/2014/main" id="{C4E510A3-A5E3-4C8A-BE60-FEBD7E365BFF}"/>
                  </a:ext>
                </a:extLst>
              </xdr:cNvPr>
              <xdr:cNvSpPr txBox="1"/>
            </xdr:nvSpPr>
            <xdr:spPr>
              <a:xfrm>
                <a:off x="16690341" y="3765669"/>
                <a:ext cx="638876" cy="273905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𝑎𝑢𝑥</a:t>
                </a:r>
                <a:endParaRPr lang="en-US" sz="1100"/>
              </a:p>
            </xdr:txBody>
          </xdr:sp>
        </mc:Fallback>
      </mc:AlternateContent>
      <xdr:sp macro="" textlink="">
        <xdr:nvSpPr>
          <xdr:cNvPr id="54" name="Rectángulo 53">
            <a:extLst>
              <a:ext uri="{FF2B5EF4-FFF2-40B4-BE49-F238E27FC236}">
                <a16:creationId xmlns:a16="http://schemas.microsoft.com/office/drawing/2014/main" id="{9E4BA612-A6EF-4828-92D1-F47F845206E8}"/>
              </a:ext>
            </a:extLst>
          </xdr:cNvPr>
          <xdr:cNvSpPr/>
        </xdr:nvSpPr>
        <xdr:spPr>
          <a:xfrm flipH="1">
            <a:off x="14754886" y="2681520"/>
            <a:ext cx="1081814" cy="92350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Steam</a:t>
            </a:r>
            <a:r>
              <a:rPr lang="es-CO" sz="1100"/>
              <a:t> Boiler</a:t>
            </a:r>
          </a:p>
        </xdr:txBody>
      </xdr:sp>
      <xdr:grpSp>
        <xdr:nvGrpSpPr>
          <xdr:cNvPr id="55" name="Grupo 54">
            <a:extLst>
              <a:ext uri="{FF2B5EF4-FFF2-40B4-BE49-F238E27FC236}">
                <a16:creationId xmlns:a16="http://schemas.microsoft.com/office/drawing/2014/main" id="{54D20874-CD99-474C-82E5-47BBE155C3A9}"/>
              </a:ext>
            </a:extLst>
          </xdr:cNvPr>
          <xdr:cNvGrpSpPr/>
        </xdr:nvGrpSpPr>
        <xdr:grpSpPr>
          <a:xfrm rot="10800000" flipH="1">
            <a:off x="15468234" y="1636379"/>
            <a:ext cx="247890" cy="295521"/>
            <a:chOff x="647700" y="2004072"/>
            <a:chExt cx="288000" cy="288000"/>
          </a:xfrm>
        </xdr:grpSpPr>
        <xdr:sp macro="" textlink="">
          <xdr:nvSpPr>
            <xdr:cNvPr id="56" name="Elipse 55">
              <a:extLst>
                <a:ext uri="{FF2B5EF4-FFF2-40B4-BE49-F238E27FC236}">
                  <a16:creationId xmlns:a16="http://schemas.microsoft.com/office/drawing/2014/main" id="{53C0084D-F7A7-C109-9ACE-341243B7F725}"/>
                </a:ext>
              </a:extLst>
            </xdr:cNvPr>
            <xdr:cNvSpPr/>
          </xdr:nvSpPr>
          <xdr:spPr>
            <a:xfrm>
              <a:off x="647700" y="2004072"/>
              <a:ext cx="288000" cy="288000"/>
            </a:xfrm>
            <a:prstGeom prst="ellipse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657"/>
            </a:p>
          </xdr:txBody>
        </xdr:sp>
        <xdr:sp macro="" textlink="">
          <xdr:nvSpPr>
            <xdr:cNvPr id="57" name="Triángulo isósceles 56">
              <a:extLst>
                <a:ext uri="{FF2B5EF4-FFF2-40B4-BE49-F238E27FC236}">
                  <a16:creationId xmlns:a16="http://schemas.microsoft.com/office/drawing/2014/main" id="{CB395484-8742-87B6-67D8-7DBAA4148BD2}"/>
                </a:ext>
              </a:extLst>
            </xdr:cNvPr>
            <xdr:cNvSpPr/>
          </xdr:nvSpPr>
          <xdr:spPr>
            <a:xfrm>
              <a:off x="697706" y="2022399"/>
              <a:ext cx="190499" cy="218357"/>
            </a:xfrm>
            <a:prstGeom prst="triangl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657"/>
            </a:p>
          </xdr:txBody>
        </xdr:sp>
      </xdr:grpSp>
      <xdr:cxnSp macro="">
        <xdr:nvCxnSpPr>
          <xdr:cNvPr id="58" name="Conector recto de flecha 57">
            <a:extLst>
              <a:ext uri="{FF2B5EF4-FFF2-40B4-BE49-F238E27FC236}">
                <a16:creationId xmlns:a16="http://schemas.microsoft.com/office/drawing/2014/main" id="{3EF35AED-2586-4CAD-B5CE-86F591019F21}"/>
              </a:ext>
            </a:extLst>
          </xdr:cNvPr>
          <xdr:cNvCxnSpPr>
            <a:cxnSpLocks/>
          </xdr:cNvCxnSpPr>
        </xdr:nvCxnSpPr>
        <xdr:spPr>
          <a:xfrm>
            <a:off x="15572696" y="1937140"/>
            <a:ext cx="0" cy="733904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9" name="Conector recto de flecha 58">
            <a:extLst>
              <a:ext uri="{FF2B5EF4-FFF2-40B4-BE49-F238E27FC236}">
                <a16:creationId xmlns:a16="http://schemas.microsoft.com/office/drawing/2014/main" id="{C49A81E7-6F89-4796-8942-7855D5F5D53D}"/>
              </a:ext>
            </a:extLst>
          </xdr:cNvPr>
          <xdr:cNvCxnSpPr>
            <a:cxnSpLocks/>
          </xdr:cNvCxnSpPr>
        </xdr:nvCxnSpPr>
        <xdr:spPr>
          <a:xfrm>
            <a:off x="14983750" y="1993767"/>
            <a:ext cx="0" cy="682046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0" name="CuadroTexto 48">
            <a:extLst>
              <a:ext uri="{FF2B5EF4-FFF2-40B4-BE49-F238E27FC236}">
                <a16:creationId xmlns:a16="http://schemas.microsoft.com/office/drawing/2014/main" id="{4D476BAE-E4D1-422E-BF2A-798EFDDA96E6}"/>
              </a:ext>
            </a:extLst>
          </xdr:cNvPr>
          <xdr:cNvSpPr txBox="1"/>
        </xdr:nvSpPr>
        <xdr:spPr>
          <a:xfrm flipH="1">
            <a:off x="14497047" y="1801064"/>
            <a:ext cx="681044" cy="22107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Cambria Math" panose="02040503050406030204" pitchFamily="18" charset="0"/>
                <a:ea typeface="Cambria Math" panose="02040503050406030204" pitchFamily="18" charset="0"/>
              </a:rPr>
              <a:t>Biomass fuel</a:t>
            </a:r>
          </a:p>
        </xdr:txBody>
      </xdr:sp>
      <xdr:cxnSp macro="">
        <xdr:nvCxnSpPr>
          <xdr:cNvPr id="61" name="Conector recto de flecha 60">
            <a:extLst>
              <a:ext uri="{FF2B5EF4-FFF2-40B4-BE49-F238E27FC236}">
                <a16:creationId xmlns:a16="http://schemas.microsoft.com/office/drawing/2014/main" id="{5E5602F8-893F-4A2F-9A8B-55779D546E37}"/>
              </a:ext>
            </a:extLst>
          </xdr:cNvPr>
          <xdr:cNvCxnSpPr>
            <a:cxnSpLocks/>
            <a:stCxn id="54" idx="2"/>
          </xdr:cNvCxnSpPr>
        </xdr:nvCxnSpPr>
        <xdr:spPr>
          <a:xfrm flipH="1">
            <a:off x="15295793" y="3605023"/>
            <a:ext cx="1" cy="845918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Conector: angular 61">
            <a:extLst>
              <a:ext uri="{FF2B5EF4-FFF2-40B4-BE49-F238E27FC236}">
                <a16:creationId xmlns:a16="http://schemas.microsoft.com/office/drawing/2014/main" id="{30696383-F58F-41A9-B6B8-13928E75928F}"/>
              </a:ext>
            </a:extLst>
          </xdr:cNvPr>
          <xdr:cNvCxnSpPr>
            <a:stCxn id="44" idx="1"/>
            <a:endCxn id="29" idx="1"/>
          </xdr:cNvCxnSpPr>
        </xdr:nvCxnSpPr>
        <xdr:spPr>
          <a:xfrm rot="5400000">
            <a:off x="13368419" y="3368944"/>
            <a:ext cx="494480" cy="3692786"/>
          </a:xfrm>
          <a:prstGeom prst="bentConnector2">
            <a:avLst/>
          </a:prstGeom>
          <a:ln w="190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3" name="CuadroTexto 321">
                <a:extLst>
                  <a:ext uri="{FF2B5EF4-FFF2-40B4-BE49-F238E27FC236}">
                    <a16:creationId xmlns:a16="http://schemas.microsoft.com/office/drawing/2014/main" id="{ECF66326-F2B4-4335-B425-3E9E1DD6473F}"/>
                  </a:ext>
                </a:extLst>
              </xdr:cNvPr>
              <xdr:cNvSpPr txBox="1"/>
            </xdr:nvSpPr>
            <xdr:spPr>
              <a:xfrm>
                <a:off x="10086903" y="3458742"/>
                <a:ext cx="552285" cy="273904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𝑃𝑏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63" name="CuadroTexto 321">
                <a:extLst>
                  <a:ext uri="{FF2B5EF4-FFF2-40B4-BE49-F238E27FC236}">
                    <a16:creationId xmlns:a16="http://schemas.microsoft.com/office/drawing/2014/main" id="{ECF66326-F2B4-4335-B425-3E9E1DD6473F}"/>
                  </a:ext>
                </a:extLst>
              </xdr:cNvPr>
              <xdr:cNvSpPr txBox="1"/>
            </xdr:nvSpPr>
            <xdr:spPr>
              <a:xfrm>
                <a:off x="10086903" y="3458742"/>
                <a:ext cx="552285" cy="273904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𝑃𝑏</a:t>
                </a:r>
                <a:endParaRPr lang="en-US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4" name="CuadroTexto 326">
                <a:extLst>
                  <a:ext uri="{FF2B5EF4-FFF2-40B4-BE49-F238E27FC236}">
                    <a16:creationId xmlns:a16="http://schemas.microsoft.com/office/drawing/2014/main" id="{29FA774C-9EF0-4344-BF5B-F6EB2C4BC084}"/>
                  </a:ext>
                </a:extLst>
              </xdr:cNvPr>
              <xdr:cNvSpPr txBox="1"/>
            </xdr:nvSpPr>
            <xdr:spPr>
              <a:xfrm>
                <a:off x="16447271" y="4793138"/>
                <a:ext cx="638876" cy="291996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𝑔𝑒𝑛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64" name="CuadroTexto 326">
                <a:extLst>
                  <a:ext uri="{FF2B5EF4-FFF2-40B4-BE49-F238E27FC236}">
                    <a16:creationId xmlns:a16="http://schemas.microsoft.com/office/drawing/2014/main" id="{29FA774C-9EF0-4344-BF5B-F6EB2C4BC084}"/>
                  </a:ext>
                </a:extLst>
              </xdr:cNvPr>
              <xdr:cNvSpPr txBox="1"/>
            </xdr:nvSpPr>
            <xdr:spPr>
              <a:xfrm>
                <a:off x="16447271" y="4793138"/>
                <a:ext cx="638876" cy="291996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𝑔𝑒𝑛</a:t>
                </a:r>
                <a:endParaRPr lang="en-US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5" name="CuadroTexto 327">
                <a:extLst>
                  <a:ext uri="{FF2B5EF4-FFF2-40B4-BE49-F238E27FC236}">
                    <a16:creationId xmlns:a16="http://schemas.microsoft.com/office/drawing/2014/main" id="{2E430D7C-BA99-4973-8C71-575E46EE404B}"/>
                  </a:ext>
                </a:extLst>
              </xdr:cNvPr>
              <xdr:cNvSpPr txBox="1"/>
            </xdr:nvSpPr>
            <xdr:spPr>
              <a:xfrm>
                <a:off x="17115412" y="4350590"/>
                <a:ext cx="638876" cy="273904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𝑛𝑒𝑡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65" name="CuadroTexto 327">
                <a:extLst>
                  <a:ext uri="{FF2B5EF4-FFF2-40B4-BE49-F238E27FC236}">
                    <a16:creationId xmlns:a16="http://schemas.microsoft.com/office/drawing/2014/main" id="{2E430D7C-BA99-4973-8C71-575E46EE404B}"/>
                  </a:ext>
                </a:extLst>
              </xdr:cNvPr>
              <xdr:cNvSpPr txBox="1"/>
            </xdr:nvSpPr>
            <xdr:spPr>
              <a:xfrm>
                <a:off x="17115412" y="4350590"/>
                <a:ext cx="638876" cy="273904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𝑛𝑒𝑡</a:t>
                </a:r>
                <a:endParaRPr lang="en-US" sz="1100"/>
              </a:p>
            </xdr:txBody>
          </xdr:sp>
        </mc:Fallback>
      </mc:AlternateContent>
      <xdr:grpSp>
        <xdr:nvGrpSpPr>
          <xdr:cNvPr id="66" name="Grupo 65">
            <a:extLst>
              <a:ext uri="{FF2B5EF4-FFF2-40B4-BE49-F238E27FC236}">
                <a16:creationId xmlns:a16="http://schemas.microsoft.com/office/drawing/2014/main" id="{BE31884A-2F39-406C-AA3E-FBBAB0C1E945}"/>
              </a:ext>
            </a:extLst>
          </xdr:cNvPr>
          <xdr:cNvGrpSpPr/>
        </xdr:nvGrpSpPr>
        <xdr:grpSpPr>
          <a:xfrm>
            <a:off x="2745168" y="6779179"/>
            <a:ext cx="15187701" cy="3241430"/>
            <a:chOff x="2360968" y="6247130"/>
            <a:chExt cx="18007027" cy="3151912"/>
          </a:xfrm>
        </xdr:grpSpPr>
        <xdr:sp macro="" textlink="">
          <xdr:nvSpPr>
            <xdr:cNvPr id="67" name="Rectángulo 66">
              <a:extLst>
                <a:ext uri="{FF2B5EF4-FFF2-40B4-BE49-F238E27FC236}">
                  <a16:creationId xmlns:a16="http://schemas.microsoft.com/office/drawing/2014/main" id="{C5427C76-0BBD-D3E5-4DC5-FF4752B486D1}"/>
                </a:ext>
              </a:extLst>
            </xdr:cNvPr>
            <xdr:cNvSpPr/>
          </xdr:nvSpPr>
          <xdr:spPr>
            <a:xfrm flipH="1">
              <a:off x="3409116" y="6881670"/>
              <a:ext cx="1080000" cy="54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CSRT</a:t>
              </a:r>
            </a:p>
            <a:p>
              <a:pPr algn="ctr"/>
              <a:r>
                <a:rPr lang="en-US" sz="1100"/>
                <a:t>Digester</a:t>
              </a:r>
            </a:p>
          </xdr:txBody>
        </xdr:sp>
        <xdr:sp macro="" textlink="">
          <xdr:nvSpPr>
            <xdr:cNvPr id="68" name="Elipse 67">
              <a:extLst>
                <a:ext uri="{FF2B5EF4-FFF2-40B4-BE49-F238E27FC236}">
                  <a16:creationId xmlns:a16="http://schemas.microsoft.com/office/drawing/2014/main" id="{884499A0-0C23-4650-184D-C1E7A6EAB2A5}"/>
                </a:ext>
              </a:extLst>
            </xdr:cNvPr>
            <xdr:cNvSpPr/>
          </xdr:nvSpPr>
          <xdr:spPr>
            <a:xfrm flipH="1">
              <a:off x="9474711" y="6935670"/>
              <a:ext cx="432000" cy="432000"/>
            </a:xfrm>
            <a:prstGeom prst="ellipse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CO" sz="1100"/>
                <a:t>G</a:t>
              </a:r>
            </a:p>
          </xdr:txBody>
        </xdr:sp>
        <xdr:sp macro="" textlink="">
          <xdr:nvSpPr>
            <xdr:cNvPr id="69" name="Rectángulo 68">
              <a:extLst>
                <a:ext uri="{FF2B5EF4-FFF2-40B4-BE49-F238E27FC236}">
                  <a16:creationId xmlns:a16="http://schemas.microsoft.com/office/drawing/2014/main" id="{F862C1DA-CCE6-3033-D7CA-8F2193A374E7}"/>
                </a:ext>
              </a:extLst>
            </xdr:cNvPr>
            <xdr:cNvSpPr/>
          </xdr:nvSpPr>
          <xdr:spPr>
            <a:xfrm flipH="1">
              <a:off x="7740563" y="6881670"/>
              <a:ext cx="1080000" cy="54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Biogas engine</a:t>
              </a:r>
            </a:p>
          </xdr:txBody>
        </xdr:sp>
        <xdr:sp macro="" textlink="">
          <xdr:nvSpPr>
            <xdr:cNvPr id="70" name="Rectángulo 69">
              <a:extLst>
                <a:ext uri="{FF2B5EF4-FFF2-40B4-BE49-F238E27FC236}">
                  <a16:creationId xmlns:a16="http://schemas.microsoft.com/office/drawing/2014/main" id="{53BE86C1-7F32-8D6A-8515-404AB7916F96}"/>
                </a:ext>
              </a:extLst>
            </xdr:cNvPr>
            <xdr:cNvSpPr/>
          </xdr:nvSpPr>
          <xdr:spPr>
            <a:xfrm flipH="1">
              <a:off x="5624129" y="6881670"/>
              <a:ext cx="1080000" cy="54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Biogas cleaning</a:t>
              </a:r>
            </a:p>
          </xdr:txBody>
        </xdr:sp>
        <xdr:cxnSp macro="">
          <xdr:nvCxnSpPr>
            <xdr:cNvPr id="71" name="Conector recto de flecha 70">
              <a:extLst>
                <a:ext uri="{FF2B5EF4-FFF2-40B4-BE49-F238E27FC236}">
                  <a16:creationId xmlns:a16="http://schemas.microsoft.com/office/drawing/2014/main" id="{3139B775-58C0-5D71-DAA9-9BC487724CB2}"/>
                </a:ext>
              </a:extLst>
            </xdr:cNvPr>
            <xdr:cNvCxnSpPr>
              <a:stCxn id="69" idx="1"/>
              <a:endCxn id="68" idx="6"/>
            </xdr:cNvCxnSpPr>
          </xdr:nvCxnSpPr>
          <xdr:spPr>
            <a:xfrm>
              <a:off x="8820563" y="7151670"/>
              <a:ext cx="654148" cy="0"/>
            </a:xfrm>
            <a:prstGeom prst="straightConnector1">
              <a:avLst/>
            </a:prstGeom>
            <a:ln w="190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2" name="Conector recto de flecha 71">
              <a:extLst>
                <a:ext uri="{FF2B5EF4-FFF2-40B4-BE49-F238E27FC236}">
                  <a16:creationId xmlns:a16="http://schemas.microsoft.com/office/drawing/2014/main" id="{1EF6870B-FD4D-A1BD-5C3E-136B81B14CBB}"/>
                </a:ext>
              </a:extLst>
            </xdr:cNvPr>
            <xdr:cNvCxnSpPr>
              <a:stCxn id="70" idx="1"/>
              <a:endCxn id="69" idx="3"/>
            </xdr:cNvCxnSpPr>
          </xdr:nvCxnSpPr>
          <xdr:spPr>
            <a:xfrm>
              <a:off x="6704129" y="7151670"/>
              <a:ext cx="1036434" cy="0"/>
            </a:xfrm>
            <a:prstGeom prst="straightConnector1">
              <a:avLst/>
            </a:prstGeom>
            <a:ln w="190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3" name="Conector recto de flecha 72">
              <a:extLst>
                <a:ext uri="{FF2B5EF4-FFF2-40B4-BE49-F238E27FC236}">
                  <a16:creationId xmlns:a16="http://schemas.microsoft.com/office/drawing/2014/main" id="{EF43D092-CF29-FC01-9CCA-016658F70097}"/>
                </a:ext>
              </a:extLst>
            </xdr:cNvPr>
            <xdr:cNvCxnSpPr>
              <a:stCxn id="67" idx="1"/>
              <a:endCxn id="70" idx="3"/>
            </xdr:cNvCxnSpPr>
          </xdr:nvCxnSpPr>
          <xdr:spPr>
            <a:xfrm>
              <a:off x="4489116" y="7151670"/>
              <a:ext cx="1135013" cy="0"/>
            </a:xfrm>
            <a:prstGeom prst="straightConnector1">
              <a:avLst/>
            </a:prstGeom>
            <a:ln w="19050">
              <a:prstDash val="dash"/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4" name="Conector: angular 73">
              <a:extLst>
                <a:ext uri="{FF2B5EF4-FFF2-40B4-BE49-F238E27FC236}">
                  <a16:creationId xmlns:a16="http://schemas.microsoft.com/office/drawing/2014/main" id="{FD41020B-1033-6993-17E1-4BDB11056ED4}"/>
                </a:ext>
              </a:extLst>
            </xdr:cNvPr>
            <xdr:cNvCxnSpPr>
              <a:stCxn id="69" idx="0"/>
            </xdr:cNvCxnSpPr>
          </xdr:nvCxnSpPr>
          <xdr:spPr>
            <a:xfrm rot="5400000" flipH="1" flipV="1">
              <a:off x="8352245" y="6347848"/>
              <a:ext cx="462140" cy="605505"/>
            </a:xfrm>
            <a:prstGeom prst="bentConnector2">
              <a:avLst/>
            </a:prstGeom>
            <a:ln w="190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75" name="CuadroTexto 109">
                  <a:extLst>
                    <a:ext uri="{FF2B5EF4-FFF2-40B4-BE49-F238E27FC236}">
                      <a16:creationId xmlns:a16="http://schemas.microsoft.com/office/drawing/2014/main" id="{40E5FB87-45FB-B7E9-352A-0C8D743C4566}"/>
                    </a:ext>
                  </a:extLst>
                </xdr:cNvPr>
                <xdr:cNvSpPr txBox="1"/>
              </xdr:nvSpPr>
              <xdr:spPr>
                <a:xfrm flipH="1">
                  <a:off x="8917583" y="6299256"/>
                  <a:ext cx="918162" cy="24622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CO" sz="1000" i="1">
                            <a:latin typeface="Cambria Math" panose="02040503050406030204" pitchFamily="18" charset="0"/>
                          </a:rPr>
                          <m:t>𝐸𝑥h𝑎𝑢𝑠𝑡</m:t>
                        </m:r>
                        <m:r>
                          <a:rPr lang="es-CO" sz="100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CO" sz="1000" i="1">
                            <a:latin typeface="Cambria Math" panose="02040503050406030204" pitchFamily="18" charset="0"/>
                          </a:rPr>
                          <m:t>𝑔𝑎𝑠</m:t>
                        </m:r>
                      </m:oMath>
                    </m:oMathPara>
                  </a14:m>
                  <a:endParaRPr lang="en-US" sz="1000"/>
                </a:p>
              </xdr:txBody>
            </xdr:sp>
          </mc:Choice>
          <mc:Fallback xmlns="">
            <xdr:sp macro="" textlink="">
              <xdr:nvSpPr>
                <xdr:cNvPr id="75" name="CuadroTexto 109">
                  <a:extLst>
                    <a:ext uri="{FF2B5EF4-FFF2-40B4-BE49-F238E27FC236}">
                      <a16:creationId xmlns:a16="http://schemas.microsoft.com/office/drawing/2014/main" id="{40E5FB87-45FB-B7E9-352A-0C8D743C4566}"/>
                    </a:ext>
                  </a:extLst>
                </xdr:cNvPr>
                <xdr:cNvSpPr txBox="1"/>
              </xdr:nvSpPr>
              <xdr:spPr>
                <a:xfrm flipH="1">
                  <a:off x="8917583" y="6299256"/>
                  <a:ext cx="918162" cy="24622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000" i="0">
                      <a:latin typeface="Cambria Math" panose="02040503050406030204" pitchFamily="18" charset="0"/>
                    </a:rPr>
                    <a:t>𝐸𝑥ℎ𝑎𝑢𝑠𝑡 𝑔𝑎𝑠</a:t>
                  </a:r>
                  <a:endParaRPr lang="en-US" sz="1000"/>
                </a:p>
              </xdr:txBody>
            </xdr:sp>
          </mc:Fallback>
        </mc:AlternateContent>
        <xdr:cxnSp macro="">
          <xdr:nvCxnSpPr>
            <xdr:cNvPr id="76" name="Conector recto de flecha 75">
              <a:extLst>
                <a:ext uri="{FF2B5EF4-FFF2-40B4-BE49-F238E27FC236}">
                  <a16:creationId xmlns:a16="http://schemas.microsoft.com/office/drawing/2014/main" id="{DE70BB48-3EE2-1D05-4F4C-3A52CA1FC2CF}"/>
                </a:ext>
              </a:extLst>
            </xdr:cNvPr>
            <xdr:cNvCxnSpPr>
              <a:cxnSpLocks/>
              <a:stCxn id="67" idx="2"/>
              <a:endCxn id="83" idx="0"/>
            </xdr:cNvCxnSpPr>
          </xdr:nvCxnSpPr>
          <xdr:spPr>
            <a:xfrm flipH="1">
              <a:off x="3947683" y="7421670"/>
              <a:ext cx="1433" cy="958248"/>
            </a:xfrm>
            <a:prstGeom prst="straightConnector1">
              <a:avLst/>
            </a:prstGeom>
            <a:ln w="190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77" name="CuadroTexto 119">
                  <a:extLst>
                    <a:ext uri="{FF2B5EF4-FFF2-40B4-BE49-F238E27FC236}">
                      <a16:creationId xmlns:a16="http://schemas.microsoft.com/office/drawing/2014/main" id="{FB438470-A8A2-3BD2-7E1F-FE5B463DCD16}"/>
                    </a:ext>
                  </a:extLst>
                </xdr:cNvPr>
                <xdr:cNvSpPr txBox="1"/>
              </xdr:nvSpPr>
              <xdr:spPr>
                <a:xfrm flipH="1">
                  <a:off x="3875661" y="9053859"/>
                  <a:ext cx="918162" cy="249408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CO" sz="1000" b="0" i="1">
                            <a:latin typeface="Cambria Math" panose="02040503050406030204" pitchFamily="18" charset="0"/>
                          </a:rPr>
                          <m:t>𝑆𝑙𝑢𝑑𝑔𝑒</m:t>
                        </m:r>
                      </m:oMath>
                    </m:oMathPara>
                  </a14:m>
                  <a:endParaRPr lang="en-US" sz="1000"/>
                </a:p>
              </xdr:txBody>
            </xdr:sp>
          </mc:Choice>
          <mc:Fallback xmlns="">
            <xdr:sp macro="" textlink="">
              <xdr:nvSpPr>
                <xdr:cNvPr id="77" name="CuadroTexto 119">
                  <a:extLst>
                    <a:ext uri="{FF2B5EF4-FFF2-40B4-BE49-F238E27FC236}">
                      <a16:creationId xmlns:a16="http://schemas.microsoft.com/office/drawing/2014/main" id="{FB438470-A8A2-3BD2-7E1F-FE5B463DCD16}"/>
                    </a:ext>
                  </a:extLst>
                </xdr:cNvPr>
                <xdr:cNvSpPr txBox="1"/>
              </xdr:nvSpPr>
              <xdr:spPr>
                <a:xfrm flipH="1">
                  <a:off x="3875661" y="9053859"/>
                  <a:ext cx="918162" cy="249408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000" b="0" i="0">
                      <a:latin typeface="Cambria Math" panose="02040503050406030204" pitchFamily="18" charset="0"/>
                    </a:rPr>
                    <a:t>𝑆𝑙𝑢𝑑𝑔𝑒</a:t>
                  </a:r>
                  <a:endParaRPr lang="en-US" sz="1000"/>
                </a:p>
              </xdr:txBody>
            </xdr:sp>
          </mc:Fallback>
        </mc:AlternateContent>
        <xdr:cxnSp macro="">
          <xdr:nvCxnSpPr>
            <xdr:cNvPr id="78" name="Conector recto de flecha 77">
              <a:extLst>
                <a:ext uri="{FF2B5EF4-FFF2-40B4-BE49-F238E27FC236}">
                  <a16:creationId xmlns:a16="http://schemas.microsoft.com/office/drawing/2014/main" id="{0C199726-16EA-04D5-8293-1F894D07FDB8}"/>
                </a:ext>
              </a:extLst>
            </xdr:cNvPr>
            <xdr:cNvCxnSpPr>
              <a:cxnSpLocks/>
              <a:stCxn id="68" idx="2"/>
            </xdr:cNvCxnSpPr>
          </xdr:nvCxnSpPr>
          <xdr:spPr>
            <a:xfrm flipV="1">
              <a:off x="9906711" y="7097325"/>
              <a:ext cx="10461284" cy="54345"/>
            </a:xfrm>
            <a:prstGeom prst="straightConnector1">
              <a:avLst/>
            </a:prstGeom>
            <a:ln w="19050" cap="flat" cmpd="sng" algn="ctr">
              <a:solidFill>
                <a:schemeClr val="accent4"/>
              </a:solidFill>
              <a:prstDash val="dash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grpSp>
          <xdr:nvGrpSpPr>
            <xdr:cNvPr id="79" name="Grupo 78">
              <a:extLst>
                <a:ext uri="{FF2B5EF4-FFF2-40B4-BE49-F238E27FC236}">
                  <a16:creationId xmlns:a16="http://schemas.microsoft.com/office/drawing/2014/main" id="{ACEEC8C1-11C7-85E0-2E64-C43032B5955C}"/>
                </a:ext>
              </a:extLst>
            </xdr:cNvPr>
            <xdr:cNvGrpSpPr/>
          </xdr:nvGrpSpPr>
          <xdr:grpSpPr>
            <a:xfrm>
              <a:off x="9165813" y="7073422"/>
              <a:ext cx="28575" cy="144000"/>
              <a:chOff x="4488316" y="6969419"/>
              <a:chExt cx="28575" cy="144000"/>
            </a:xfrm>
          </xdr:grpSpPr>
          <xdr:cxnSp macro="">
            <xdr:nvCxnSpPr>
              <xdr:cNvPr id="86" name="Conector recto 85">
                <a:extLst>
                  <a:ext uri="{FF2B5EF4-FFF2-40B4-BE49-F238E27FC236}">
                    <a16:creationId xmlns:a16="http://schemas.microsoft.com/office/drawing/2014/main" id="{82D53ED4-11EF-D6A6-3850-9A8A6A3DE131}"/>
                  </a:ext>
                </a:extLst>
              </xdr:cNvPr>
              <xdr:cNvCxnSpPr/>
            </xdr:nvCxnSpPr>
            <xdr:spPr>
              <a:xfrm>
                <a:off x="4488316" y="6969419"/>
                <a:ext cx="0" cy="144000"/>
              </a:xfrm>
              <a:prstGeom prst="line">
                <a:avLst/>
              </a:prstGeom>
              <a:ln w="19050"/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87" name="Conector recto 86">
                <a:extLst>
                  <a:ext uri="{FF2B5EF4-FFF2-40B4-BE49-F238E27FC236}">
                    <a16:creationId xmlns:a16="http://schemas.microsoft.com/office/drawing/2014/main" id="{11232E9B-FF46-E1F8-E340-43AF87D857FA}"/>
                  </a:ext>
                </a:extLst>
              </xdr:cNvPr>
              <xdr:cNvCxnSpPr/>
            </xdr:nvCxnSpPr>
            <xdr:spPr>
              <a:xfrm>
                <a:off x="4516891" y="6969419"/>
                <a:ext cx="0" cy="144000"/>
              </a:xfrm>
              <a:prstGeom prst="line">
                <a:avLst/>
              </a:prstGeom>
              <a:ln w="19050"/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80" name="Conector recto de flecha 79">
              <a:extLst>
                <a:ext uri="{FF2B5EF4-FFF2-40B4-BE49-F238E27FC236}">
                  <a16:creationId xmlns:a16="http://schemas.microsoft.com/office/drawing/2014/main" id="{844CC13B-11B3-4D66-90DB-FD2F611701B5}"/>
                </a:ext>
              </a:extLst>
            </xdr:cNvPr>
            <xdr:cNvCxnSpPr/>
          </xdr:nvCxnSpPr>
          <xdr:spPr>
            <a:xfrm flipV="1">
              <a:off x="10223855" y="6575389"/>
              <a:ext cx="0" cy="582314"/>
            </a:xfrm>
            <a:prstGeom prst="straightConnector1">
              <a:avLst/>
            </a:prstGeom>
            <a:ln w="19050" cap="flat" cmpd="sng" algn="ctr">
              <a:solidFill>
                <a:schemeClr val="accent4"/>
              </a:solidFill>
              <a:prstDash val="dash"/>
              <a:round/>
              <a:headEnd type="none" w="med" len="med"/>
              <a:tailEnd type="triangl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81" name="CuadroTexto 329">
                  <a:extLst>
                    <a:ext uri="{FF2B5EF4-FFF2-40B4-BE49-F238E27FC236}">
                      <a16:creationId xmlns:a16="http://schemas.microsoft.com/office/drawing/2014/main" id="{62D6C24E-7F1E-C12F-989E-68FE504157B0}"/>
                    </a:ext>
                  </a:extLst>
                </xdr:cNvPr>
                <xdr:cNvSpPr txBox="1"/>
              </xdr:nvSpPr>
              <xdr:spPr>
                <a:xfrm>
                  <a:off x="9903403" y="6247130"/>
                  <a:ext cx="728359" cy="266933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̇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</m:acc>
                          </m:e>
                          <m:sub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𝑎𝑢𝑥</m:t>
                            </m:r>
                          </m:sub>
                        </m:sSub>
                      </m:oMath>
                    </m:oMathPara>
                  </a14:m>
                  <a:endParaRPr lang="en-US" sz="1100"/>
                </a:p>
              </xdr:txBody>
            </xdr:sp>
          </mc:Choice>
          <mc:Fallback xmlns="">
            <xdr:sp macro="" textlink="">
              <xdr:nvSpPr>
                <xdr:cNvPr id="81" name="CuadroTexto 329">
                  <a:extLst>
                    <a:ext uri="{FF2B5EF4-FFF2-40B4-BE49-F238E27FC236}">
                      <a16:creationId xmlns:a16="http://schemas.microsoft.com/office/drawing/2014/main" id="{62D6C24E-7F1E-C12F-989E-68FE504157B0}"/>
                    </a:ext>
                  </a:extLst>
                </xdr:cNvPr>
                <xdr:cNvSpPr txBox="1"/>
              </xdr:nvSpPr>
              <xdr:spPr>
                <a:xfrm>
                  <a:off x="9903403" y="6247130"/>
                  <a:ext cx="728359" cy="266933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100" i="0">
                      <a:latin typeface="Cambria Math" panose="02040503050406030204" pitchFamily="18" charset="0"/>
                    </a:rPr>
                    <a:t>𝑊</a:t>
                  </a:r>
                  <a:r>
                    <a:rPr lang="en-US" sz="1100" i="0">
                      <a:latin typeface="Cambria Math" panose="02040503050406030204" pitchFamily="18" charset="0"/>
                    </a:rPr>
                    <a:t> ̇_</a:t>
                  </a:r>
                  <a:r>
                    <a:rPr lang="es-CO" sz="1100" i="0">
                      <a:latin typeface="Cambria Math" panose="02040503050406030204" pitchFamily="18" charset="0"/>
                    </a:rPr>
                    <a:t>𝑎𝑢𝑥</a:t>
                  </a:r>
                  <a:endParaRPr lang="en-US" sz="11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82" name="CuadroTexto 331">
                  <a:extLst>
                    <a:ext uri="{FF2B5EF4-FFF2-40B4-BE49-F238E27FC236}">
                      <a16:creationId xmlns:a16="http://schemas.microsoft.com/office/drawing/2014/main" id="{143882ED-71E5-81ED-F891-B8A80B20B797}"/>
                    </a:ext>
                  </a:extLst>
                </xdr:cNvPr>
                <xdr:cNvSpPr txBox="1"/>
              </xdr:nvSpPr>
              <xdr:spPr>
                <a:xfrm>
                  <a:off x="10267582" y="6831623"/>
                  <a:ext cx="728359" cy="266933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̇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</m:acc>
                          </m:e>
                          <m:sub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𝑛𝑒𝑡</m:t>
                            </m:r>
                          </m:sub>
                        </m:sSub>
                      </m:oMath>
                    </m:oMathPara>
                  </a14:m>
                  <a:endParaRPr lang="en-US" sz="1100"/>
                </a:p>
              </xdr:txBody>
            </xdr:sp>
          </mc:Choice>
          <mc:Fallback xmlns="">
            <xdr:sp macro="" textlink="">
              <xdr:nvSpPr>
                <xdr:cNvPr id="82" name="CuadroTexto 331">
                  <a:extLst>
                    <a:ext uri="{FF2B5EF4-FFF2-40B4-BE49-F238E27FC236}">
                      <a16:creationId xmlns:a16="http://schemas.microsoft.com/office/drawing/2014/main" id="{143882ED-71E5-81ED-F891-B8A80B20B797}"/>
                    </a:ext>
                  </a:extLst>
                </xdr:cNvPr>
                <xdr:cNvSpPr txBox="1"/>
              </xdr:nvSpPr>
              <xdr:spPr>
                <a:xfrm>
                  <a:off x="10267582" y="6831623"/>
                  <a:ext cx="728359" cy="266933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100" i="0">
                      <a:latin typeface="Cambria Math" panose="02040503050406030204" pitchFamily="18" charset="0"/>
                    </a:rPr>
                    <a:t>𝑊</a:t>
                  </a:r>
                  <a:r>
                    <a:rPr lang="en-US" sz="1100" i="0">
                      <a:latin typeface="Cambria Math" panose="02040503050406030204" pitchFamily="18" charset="0"/>
                    </a:rPr>
                    <a:t> ̇_</a:t>
                  </a:r>
                  <a:r>
                    <a:rPr lang="es-CO" sz="1100" i="0">
                      <a:latin typeface="Cambria Math" panose="02040503050406030204" pitchFamily="18" charset="0"/>
                    </a:rPr>
                    <a:t>𝑛𝑒𝑡</a:t>
                  </a:r>
                  <a:endParaRPr lang="en-US" sz="1100"/>
                </a:p>
              </xdr:txBody>
            </xdr:sp>
          </mc:Fallback>
        </mc:AlternateContent>
        <xdr:sp macro="" textlink="">
          <xdr:nvSpPr>
            <xdr:cNvPr id="83" name="Rectángulo 82">
              <a:extLst>
                <a:ext uri="{FF2B5EF4-FFF2-40B4-BE49-F238E27FC236}">
                  <a16:creationId xmlns:a16="http://schemas.microsoft.com/office/drawing/2014/main" id="{0BFFE286-8973-8BEE-3BDD-37D1C739E374}"/>
                </a:ext>
              </a:extLst>
            </xdr:cNvPr>
            <xdr:cNvSpPr/>
          </xdr:nvSpPr>
          <xdr:spPr>
            <a:xfrm flipH="1">
              <a:off x="3407683" y="8379918"/>
              <a:ext cx="1080000" cy="540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Facultative Lagoon</a:t>
              </a:r>
            </a:p>
          </xdr:txBody>
        </xdr:sp>
        <xdr:cxnSp macro="">
          <xdr:nvCxnSpPr>
            <xdr:cNvPr id="84" name="Conector recto de flecha 83">
              <a:extLst>
                <a:ext uri="{FF2B5EF4-FFF2-40B4-BE49-F238E27FC236}">
                  <a16:creationId xmlns:a16="http://schemas.microsoft.com/office/drawing/2014/main" id="{72400B49-F47F-6EAD-0E3C-7329116BC909}"/>
                </a:ext>
              </a:extLst>
            </xdr:cNvPr>
            <xdr:cNvCxnSpPr>
              <a:cxnSpLocks/>
            </xdr:cNvCxnSpPr>
          </xdr:nvCxnSpPr>
          <xdr:spPr>
            <a:xfrm>
              <a:off x="3949116" y="8919918"/>
              <a:ext cx="0" cy="479124"/>
            </a:xfrm>
            <a:prstGeom prst="straightConnector1">
              <a:avLst/>
            </a:prstGeom>
            <a:ln w="19050"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85" name="CuadroTexto 119">
                  <a:extLst>
                    <a:ext uri="{FF2B5EF4-FFF2-40B4-BE49-F238E27FC236}">
                      <a16:creationId xmlns:a16="http://schemas.microsoft.com/office/drawing/2014/main" id="{529EAE51-0358-2ADD-462F-37F48F389B78}"/>
                    </a:ext>
                  </a:extLst>
                </xdr:cNvPr>
                <xdr:cNvSpPr txBox="1"/>
              </xdr:nvSpPr>
              <xdr:spPr>
                <a:xfrm flipH="1">
                  <a:off x="2360968" y="7586781"/>
                  <a:ext cx="918162" cy="249408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CO" sz="1000" b="0" i="1">
                            <a:latin typeface="Cambria Math" panose="02040503050406030204" pitchFamily="18" charset="0"/>
                          </a:rPr>
                          <m:t>𝐸𝑓𝑙𝑢𝑒𝑛𝑡</m:t>
                        </m:r>
                      </m:oMath>
                    </m:oMathPara>
                  </a14:m>
                  <a:endParaRPr lang="en-US" sz="1000"/>
                </a:p>
              </xdr:txBody>
            </xdr:sp>
          </mc:Choice>
          <mc:Fallback xmlns="">
            <xdr:sp macro="" textlink="">
              <xdr:nvSpPr>
                <xdr:cNvPr id="85" name="CuadroTexto 119">
                  <a:extLst>
                    <a:ext uri="{FF2B5EF4-FFF2-40B4-BE49-F238E27FC236}">
                      <a16:creationId xmlns:a16="http://schemas.microsoft.com/office/drawing/2014/main" id="{529EAE51-0358-2ADD-462F-37F48F389B78}"/>
                    </a:ext>
                  </a:extLst>
                </xdr:cNvPr>
                <xdr:cNvSpPr txBox="1"/>
              </xdr:nvSpPr>
              <xdr:spPr>
                <a:xfrm flipH="1">
                  <a:off x="2360968" y="7586781"/>
                  <a:ext cx="918162" cy="249408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/>
                  <a:r>
                    <a:rPr lang="es-CO" sz="1000" b="0" i="0">
                      <a:latin typeface="Cambria Math" panose="02040503050406030204" pitchFamily="18" charset="0"/>
                    </a:rPr>
                    <a:t>𝐸𝑓𝑙𝑢𝑒𝑛𝑡</a:t>
                  </a:r>
                  <a:endParaRPr lang="en-US" sz="1000"/>
                </a:p>
              </xdr:txBody>
            </xdr:sp>
          </mc:Fallback>
        </mc:AlternateContent>
      </xdr:grpSp>
      <xdr:cxnSp macro="">
        <xdr:nvCxnSpPr>
          <xdr:cNvPr id="88" name="Conector recto de flecha 87">
            <a:extLst>
              <a:ext uri="{FF2B5EF4-FFF2-40B4-BE49-F238E27FC236}">
                <a16:creationId xmlns:a16="http://schemas.microsoft.com/office/drawing/2014/main" id="{BBB64FC2-95D2-4557-9396-25DDA683C4FD}"/>
              </a:ext>
            </a:extLst>
          </xdr:cNvPr>
          <xdr:cNvCxnSpPr/>
        </xdr:nvCxnSpPr>
        <xdr:spPr>
          <a:xfrm>
            <a:off x="6026132" y="909204"/>
            <a:ext cx="0" cy="42529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Conector recto de flecha 88">
            <a:extLst>
              <a:ext uri="{FF2B5EF4-FFF2-40B4-BE49-F238E27FC236}">
                <a16:creationId xmlns:a16="http://schemas.microsoft.com/office/drawing/2014/main" id="{D7D50B0B-A5D9-4917-A87B-8CF39000CCE3}"/>
              </a:ext>
            </a:extLst>
          </xdr:cNvPr>
          <xdr:cNvCxnSpPr/>
        </xdr:nvCxnSpPr>
        <xdr:spPr>
          <a:xfrm>
            <a:off x="7991801" y="909204"/>
            <a:ext cx="0" cy="42529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Conector recto de flecha 89">
            <a:extLst>
              <a:ext uri="{FF2B5EF4-FFF2-40B4-BE49-F238E27FC236}">
                <a16:creationId xmlns:a16="http://schemas.microsoft.com/office/drawing/2014/main" id="{A8267EC6-515D-4334-BE54-68F47EB70B48}"/>
              </a:ext>
            </a:extLst>
          </xdr:cNvPr>
          <xdr:cNvCxnSpPr/>
        </xdr:nvCxnSpPr>
        <xdr:spPr>
          <a:xfrm>
            <a:off x="9846462" y="909204"/>
            <a:ext cx="0" cy="42529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1" name="Rectángulo 90">
            <a:extLst>
              <a:ext uri="{FF2B5EF4-FFF2-40B4-BE49-F238E27FC236}">
                <a16:creationId xmlns:a16="http://schemas.microsoft.com/office/drawing/2014/main" id="{C543344F-3EF0-42CE-B970-FD1E71C29574}"/>
              </a:ext>
            </a:extLst>
          </xdr:cNvPr>
          <xdr:cNvSpPr/>
        </xdr:nvSpPr>
        <xdr:spPr>
          <a:xfrm>
            <a:off x="12445483" y="1760901"/>
            <a:ext cx="898728" cy="710516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Hot Water</a:t>
            </a:r>
          </a:p>
        </xdr:txBody>
      </xdr:sp>
      <xdr:grpSp>
        <xdr:nvGrpSpPr>
          <xdr:cNvPr id="92" name="Grupo 91">
            <a:extLst>
              <a:ext uri="{FF2B5EF4-FFF2-40B4-BE49-F238E27FC236}">
                <a16:creationId xmlns:a16="http://schemas.microsoft.com/office/drawing/2014/main" id="{3CCC0C8F-6FDF-4692-90CA-F5D7A37AD154}"/>
              </a:ext>
            </a:extLst>
          </xdr:cNvPr>
          <xdr:cNvGrpSpPr/>
        </xdr:nvGrpSpPr>
        <xdr:grpSpPr>
          <a:xfrm>
            <a:off x="11441836" y="3059502"/>
            <a:ext cx="858139" cy="828721"/>
            <a:chOff x="5999852" y="6182887"/>
            <a:chExt cx="1031321" cy="833815"/>
          </a:xfrm>
        </xdr:grpSpPr>
        <xdr:sp macro="" textlink="">
          <xdr:nvSpPr>
            <xdr:cNvPr id="93" name="Elipse 92">
              <a:extLst>
                <a:ext uri="{FF2B5EF4-FFF2-40B4-BE49-F238E27FC236}">
                  <a16:creationId xmlns:a16="http://schemas.microsoft.com/office/drawing/2014/main" id="{4BB9EEF1-34CD-D32A-231A-CBDFADD67E74}"/>
                </a:ext>
              </a:extLst>
            </xdr:cNvPr>
            <xdr:cNvSpPr/>
          </xdr:nvSpPr>
          <xdr:spPr>
            <a:xfrm rot="5400000" flipH="1">
              <a:off x="6739530" y="6188687"/>
              <a:ext cx="297444" cy="285843"/>
            </a:xfrm>
            <a:prstGeom prst="ellipse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657"/>
            </a:p>
          </xdr:txBody>
        </xdr:sp>
        <xdr:sp macro="" textlink="">
          <xdr:nvSpPr>
            <xdr:cNvPr id="94" name="Triángulo isósceles 93">
              <a:extLst>
                <a:ext uri="{FF2B5EF4-FFF2-40B4-BE49-F238E27FC236}">
                  <a16:creationId xmlns:a16="http://schemas.microsoft.com/office/drawing/2014/main" id="{3EFC1785-4340-BDE3-6F4C-D67C93C8E9DF}"/>
                </a:ext>
              </a:extLst>
            </xdr:cNvPr>
            <xdr:cNvSpPr/>
          </xdr:nvSpPr>
          <xdr:spPr>
            <a:xfrm rot="5400000" flipH="1">
              <a:off x="6806250" y="6221951"/>
              <a:ext cx="196746" cy="216722"/>
            </a:xfrm>
            <a:prstGeom prst="triangl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657"/>
            </a:p>
          </xdr:txBody>
        </xdr:sp>
        <xdr:cxnSp macro="">
          <xdr:nvCxnSpPr>
            <xdr:cNvPr id="95" name="Conector recto 94">
              <a:extLst>
                <a:ext uri="{FF2B5EF4-FFF2-40B4-BE49-F238E27FC236}">
                  <a16:creationId xmlns:a16="http://schemas.microsoft.com/office/drawing/2014/main" id="{6BA04B1A-54C9-1822-3D8D-576C4379838B}"/>
                </a:ext>
              </a:extLst>
            </xdr:cNvPr>
            <xdr:cNvCxnSpPr/>
          </xdr:nvCxnSpPr>
          <xdr:spPr>
            <a:xfrm>
              <a:off x="5999852" y="6908491"/>
              <a:ext cx="357303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Conector recto 95">
              <a:extLst>
                <a:ext uri="{FF2B5EF4-FFF2-40B4-BE49-F238E27FC236}">
                  <a16:creationId xmlns:a16="http://schemas.microsoft.com/office/drawing/2014/main" id="{2AB7A673-04D1-7EBD-C8ED-657853F84654}"/>
                </a:ext>
              </a:extLst>
            </xdr:cNvPr>
            <xdr:cNvCxnSpPr/>
          </xdr:nvCxnSpPr>
          <xdr:spPr>
            <a:xfrm>
              <a:off x="6035582" y="6962596"/>
              <a:ext cx="285842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Conector recto 96">
              <a:extLst>
                <a:ext uri="{FF2B5EF4-FFF2-40B4-BE49-F238E27FC236}">
                  <a16:creationId xmlns:a16="http://schemas.microsoft.com/office/drawing/2014/main" id="{25DAD267-B251-C952-9D89-1E616B630CA2}"/>
                </a:ext>
              </a:extLst>
            </xdr:cNvPr>
            <xdr:cNvCxnSpPr/>
          </xdr:nvCxnSpPr>
          <xdr:spPr>
            <a:xfrm>
              <a:off x="6089178" y="7016702"/>
              <a:ext cx="178652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Conector: angular 97">
              <a:extLst>
                <a:ext uri="{FF2B5EF4-FFF2-40B4-BE49-F238E27FC236}">
                  <a16:creationId xmlns:a16="http://schemas.microsoft.com/office/drawing/2014/main" id="{CA149D52-0C7E-19E5-F8F9-D4B0B284876B}"/>
                </a:ext>
              </a:extLst>
            </xdr:cNvPr>
            <xdr:cNvCxnSpPr>
              <a:endCxn id="93" idx="4"/>
            </xdr:cNvCxnSpPr>
          </xdr:nvCxnSpPr>
          <xdr:spPr>
            <a:xfrm flipV="1">
              <a:off x="6179580" y="6331608"/>
              <a:ext cx="565750" cy="564814"/>
            </a:xfrm>
            <a:prstGeom prst="bentConnector3">
              <a:avLst>
                <a:gd name="adj1" fmla="val 631"/>
              </a:avLst>
            </a:prstGeom>
            <a:ln w="19050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9" name="Conector recto de flecha 98">
            <a:extLst>
              <a:ext uri="{FF2B5EF4-FFF2-40B4-BE49-F238E27FC236}">
                <a16:creationId xmlns:a16="http://schemas.microsoft.com/office/drawing/2014/main" id="{0C085300-69B3-463A-AF97-293A0E0C8616}"/>
              </a:ext>
            </a:extLst>
          </xdr:cNvPr>
          <xdr:cNvCxnSpPr>
            <a:cxnSpLocks/>
            <a:endCxn id="148" idx="6"/>
          </xdr:cNvCxnSpPr>
        </xdr:nvCxnSpPr>
        <xdr:spPr>
          <a:xfrm flipH="1">
            <a:off x="15636806" y="5020481"/>
            <a:ext cx="5692" cy="87006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Conector: angular 99">
            <a:extLst>
              <a:ext uri="{FF2B5EF4-FFF2-40B4-BE49-F238E27FC236}">
                <a16:creationId xmlns:a16="http://schemas.microsoft.com/office/drawing/2014/main" id="{3130BBC0-1730-4FA9-BED3-D48B926E8EE5}"/>
              </a:ext>
            </a:extLst>
          </xdr:cNvPr>
          <xdr:cNvCxnSpPr/>
        </xdr:nvCxnSpPr>
        <xdr:spPr>
          <a:xfrm rot="16200000" flipV="1">
            <a:off x="9126020" y="2672757"/>
            <a:ext cx="4229571" cy="689223"/>
          </a:xfrm>
          <a:prstGeom prst="bentConnector3">
            <a:avLst>
              <a:gd name="adj1" fmla="val 269"/>
            </a:avLst>
          </a:prstGeom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Conector recto 100">
            <a:extLst>
              <a:ext uri="{FF2B5EF4-FFF2-40B4-BE49-F238E27FC236}">
                <a16:creationId xmlns:a16="http://schemas.microsoft.com/office/drawing/2014/main" id="{E8163610-8C7E-456E-BA47-AD6A59AC10A7}"/>
              </a:ext>
            </a:extLst>
          </xdr:cNvPr>
          <xdr:cNvCxnSpPr/>
        </xdr:nvCxnSpPr>
        <xdr:spPr>
          <a:xfrm>
            <a:off x="1580611" y="2834117"/>
            <a:ext cx="9099893" cy="0"/>
          </a:xfrm>
          <a:prstGeom prst="line">
            <a:avLst/>
          </a:prstGeom>
          <a:ln w="28575"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Conector recto de flecha 101">
            <a:extLst>
              <a:ext uri="{FF2B5EF4-FFF2-40B4-BE49-F238E27FC236}">
                <a16:creationId xmlns:a16="http://schemas.microsoft.com/office/drawing/2014/main" id="{EDFA1448-6F2E-4565-86FD-CDA3C9A60962}"/>
              </a:ext>
            </a:extLst>
          </xdr:cNvPr>
          <xdr:cNvCxnSpPr>
            <a:cxnSpLocks/>
          </xdr:cNvCxnSpPr>
        </xdr:nvCxnSpPr>
        <xdr:spPr>
          <a:xfrm flipH="1" flipV="1">
            <a:off x="2492919" y="1907199"/>
            <a:ext cx="22520" cy="926920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Conector recto de flecha 102">
            <a:extLst>
              <a:ext uri="{FF2B5EF4-FFF2-40B4-BE49-F238E27FC236}">
                <a16:creationId xmlns:a16="http://schemas.microsoft.com/office/drawing/2014/main" id="{7436BB41-22A1-4E12-ACE9-0D03DF76EEEA}"/>
              </a:ext>
            </a:extLst>
          </xdr:cNvPr>
          <xdr:cNvCxnSpPr>
            <a:cxnSpLocks/>
          </xdr:cNvCxnSpPr>
        </xdr:nvCxnSpPr>
        <xdr:spPr>
          <a:xfrm flipH="1" flipV="1">
            <a:off x="4398045" y="1901629"/>
            <a:ext cx="15020" cy="932490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Conector recto de flecha 103">
            <a:extLst>
              <a:ext uri="{FF2B5EF4-FFF2-40B4-BE49-F238E27FC236}">
                <a16:creationId xmlns:a16="http://schemas.microsoft.com/office/drawing/2014/main" id="{B0ED98C5-2CF4-481B-A447-79DA2C5043E7}"/>
              </a:ext>
            </a:extLst>
          </xdr:cNvPr>
          <xdr:cNvCxnSpPr>
            <a:cxnSpLocks/>
          </xdr:cNvCxnSpPr>
        </xdr:nvCxnSpPr>
        <xdr:spPr>
          <a:xfrm flipV="1">
            <a:off x="5602008" y="1895365"/>
            <a:ext cx="0" cy="938753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Conector recto de flecha 104">
            <a:extLst>
              <a:ext uri="{FF2B5EF4-FFF2-40B4-BE49-F238E27FC236}">
                <a16:creationId xmlns:a16="http://schemas.microsoft.com/office/drawing/2014/main" id="{EEB7733E-FE70-47C3-AE9B-3B9FD3202916}"/>
              </a:ext>
            </a:extLst>
          </xdr:cNvPr>
          <xdr:cNvCxnSpPr>
            <a:cxnSpLocks/>
          </xdr:cNvCxnSpPr>
        </xdr:nvCxnSpPr>
        <xdr:spPr>
          <a:xfrm flipV="1">
            <a:off x="8072130" y="1895365"/>
            <a:ext cx="0" cy="938753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Conector recto de flecha 105">
            <a:extLst>
              <a:ext uri="{FF2B5EF4-FFF2-40B4-BE49-F238E27FC236}">
                <a16:creationId xmlns:a16="http://schemas.microsoft.com/office/drawing/2014/main" id="{936267FA-08B2-4D1D-B507-21F19FEA412A}"/>
              </a:ext>
            </a:extLst>
          </xdr:cNvPr>
          <xdr:cNvCxnSpPr>
            <a:cxnSpLocks/>
          </xdr:cNvCxnSpPr>
        </xdr:nvCxnSpPr>
        <xdr:spPr>
          <a:xfrm flipV="1">
            <a:off x="9846462" y="1884111"/>
            <a:ext cx="0" cy="950007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Conector recto de flecha 106">
            <a:extLst>
              <a:ext uri="{FF2B5EF4-FFF2-40B4-BE49-F238E27FC236}">
                <a16:creationId xmlns:a16="http://schemas.microsoft.com/office/drawing/2014/main" id="{C8F730BD-D494-4714-8C92-D10160013665}"/>
              </a:ext>
            </a:extLst>
          </xdr:cNvPr>
          <xdr:cNvCxnSpPr>
            <a:cxnSpLocks/>
            <a:endCxn id="16" idx="0"/>
          </xdr:cNvCxnSpPr>
        </xdr:nvCxnSpPr>
        <xdr:spPr>
          <a:xfrm>
            <a:off x="7712101" y="2834118"/>
            <a:ext cx="0" cy="607277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Conector recto de flecha 107">
            <a:extLst>
              <a:ext uri="{FF2B5EF4-FFF2-40B4-BE49-F238E27FC236}">
                <a16:creationId xmlns:a16="http://schemas.microsoft.com/office/drawing/2014/main" id="{15D51645-E51B-4374-A552-2D2D83D1A08A}"/>
              </a:ext>
            </a:extLst>
          </xdr:cNvPr>
          <xdr:cNvCxnSpPr>
            <a:cxnSpLocks/>
          </xdr:cNvCxnSpPr>
        </xdr:nvCxnSpPr>
        <xdr:spPr>
          <a:xfrm>
            <a:off x="6318204" y="2834119"/>
            <a:ext cx="0" cy="583664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Conector recto de flecha 108">
            <a:extLst>
              <a:ext uri="{FF2B5EF4-FFF2-40B4-BE49-F238E27FC236}">
                <a16:creationId xmlns:a16="http://schemas.microsoft.com/office/drawing/2014/main" id="{26672176-EDDB-4B9D-B959-E8AD563D27C6}"/>
              </a:ext>
            </a:extLst>
          </xdr:cNvPr>
          <xdr:cNvCxnSpPr>
            <a:cxnSpLocks/>
          </xdr:cNvCxnSpPr>
        </xdr:nvCxnSpPr>
        <xdr:spPr>
          <a:xfrm>
            <a:off x="3752253" y="2834119"/>
            <a:ext cx="0" cy="583664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Conector recto de flecha 109">
            <a:extLst>
              <a:ext uri="{FF2B5EF4-FFF2-40B4-BE49-F238E27FC236}">
                <a16:creationId xmlns:a16="http://schemas.microsoft.com/office/drawing/2014/main" id="{3390D890-66C0-4D32-9192-24288F4FF9A5}"/>
              </a:ext>
            </a:extLst>
          </xdr:cNvPr>
          <xdr:cNvCxnSpPr>
            <a:cxnSpLocks/>
          </xdr:cNvCxnSpPr>
        </xdr:nvCxnSpPr>
        <xdr:spPr>
          <a:xfrm flipV="1">
            <a:off x="10379699" y="2834119"/>
            <a:ext cx="9863" cy="583664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Conector recto de flecha 110">
            <a:extLst>
              <a:ext uri="{FF2B5EF4-FFF2-40B4-BE49-F238E27FC236}">
                <a16:creationId xmlns:a16="http://schemas.microsoft.com/office/drawing/2014/main" id="{3E0321E3-B811-4A99-808A-6D3CC24FF34C}"/>
              </a:ext>
            </a:extLst>
          </xdr:cNvPr>
          <xdr:cNvCxnSpPr>
            <a:cxnSpLocks/>
            <a:endCxn id="164" idx="0"/>
          </xdr:cNvCxnSpPr>
        </xdr:nvCxnSpPr>
        <xdr:spPr>
          <a:xfrm flipH="1">
            <a:off x="4061964" y="3989556"/>
            <a:ext cx="11930" cy="1179445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2" name="Conector recto de flecha 111">
            <a:extLst>
              <a:ext uri="{FF2B5EF4-FFF2-40B4-BE49-F238E27FC236}">
                <a16:creationId xmlns:a16="http://schemas.microsoft.com/office/drawing/2014/main" id="{CA1077C4-647E-4975-8379-3648E0416839}"/>
              </a:ext>
            </a:extLst>
          </xdr:cNvPr>
          <xdr:cNvCxnSpPr>
            <a:cxnSpLocks/>
          </xdr:cNvCxnSpPr>
        </xdr:nvCxnSpPr>
        <xdr:spPr>
          <a:xfrm>
            <a:off x="1867884" y="2834117"/>
            <a:ext cx="0" cy="1644549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" name="Conector recto 112">
            <a:extLst>
              <a:ext uri="{FF2B5EF4-FFF2-40B4-BE49-F238E27FC236}">
                <a16:creationId xmlns:a16="http://schemas.microsoft.com/office/drawing/2014/main" id="{5D9FA1BC-72E0-4368-BCE4-C19B6B61771B}"/>
              </a:ext>
            </a:extLst>
          </xdr:cNvPr>
          <xdr:cNvCxnSpPr>
            <a:cxnSpLocks/>
          </xdr:cNvCxnSpPr>
        </xdr:nvCxnSpPr>
        <xdr:spPr>
          <a:xfrm>
            <a:off x="17721757" y="3568123"/>
            <a:ext cx="0" cy="5223179"/>
          </a:xfrm>
          <a:prstGeom prst="line">
            <a:avLst/>
          </a:prstGeom>
          <a:ln w="28575"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Conector recto de flecha 113">
            <a:extLst>
              <a:ext uri="{FF2B5EF4-FFF2-40B4-BE49-F238E27FC236}">
                <a16:creationId xmlns:a16="http://schemas.microsoft.com/office/drawing/2014/main" id="{93A249A5-CD99-4882-982A-0F26D3FE0936}"/>
              </a:ext>
            </a:extLst>
          </xdr:cNvPr>
          <xdr:cNvCxnSpPr>
            <a:cxnSpLocks/>
          </xdr:cNvCxnSpPr>
        </xdr:nvCxnSpPr>
        <xdr:spPr>
          <a:xfrm>
            <a:off x="17721759" y="5409796"/>
            <a:ext cx="627176" cy="0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Conector recto de flecha 114">
            <a:extLst>
              <a:ext uri="{FF2B5EF4-FFF2-40B4-BE49-F238E27FC236}">
                <a16:creationId xmlns:a16="http://schemas.microsoft.com/office/drawing/2014/main" id="{519E6C22-7AA5-41D2-8033-3B187F74B9DD}"/>
              </a:ext>
            </a:extLst>
          </xdr:cNvPr>
          <xdr:cNvCxnSpPr>
            <a:cxnSpLocks/>
          </xdr:cNvCxnSpPr>
        </xdr:nvCxnSpPr>
        <xdr:spPr>
          <a:xfrm>
            <a:off x="17721759" y="6511873"/>
            <a:ext cx="627176" cy="0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16" name="CuadroTexto 359">
                <a:extLst>
                  <a:ext uri="{FF2B5EF4-FFF2-40B4-BE49-F238E27FC236}">
                    <a16:creationId xmlns:a16="http://schemas.microsoft.com/office/drawing/2014/main" id="{CFA64ECC-3147-449D-9210-745B801C0BAF}"/>
                  </a:ext>
                </a:extLst>
              </xdr:cNvPr>
              <xdr:cNvSpPr txBox="1"/>
            </xdr:nvSpPr>
            <xdr:spPr>
              <a:xfrm>
                <a:off x="17824634" y="5032187"/>
                <a:ext cx="552285" cy="273906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𝑃𝑏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116" name="CuadroTexto 359">
                <a:extLst>
                  <a:ext uri="{FF2B5EF4-FFF2-40B4-BE49-F238E27FC236}">
                    <a16:creationId xmlns:a16="http://schemas.microsoft.com/office/drawing/2014/main" id="{CFA64ECC-3147-449D-9210-745B801C0BAF}"/>
                  </a:ext>
                </a:extLst>
              </xdr:cNvPr>
              <xdr:cNvSpPr txBox="1"/>
            </xdr:nvSpPr>
            <xdr:spPr>
              <a:xfrm>
                <a:off x="17824634" y="5032187"/>
                <a:ext cx="552285" cy="273906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𝑃𝑏</a:t>
                </a:r>
                <a:endParaRPr lang="en-US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17" name="CuadroTexto 360">
                <a:extLst>
                  <a:ext uri="{FF2B5EF4-FFF2-40B4-BE49-F238E27FC236}">
                    <a16:creationId xmlns:a16="http://schemas.microsoft.com/office/drawing/2014/main" id="{00A07D6D-4599-4F17-9712-26CB74679450}"/>
                  </a:ext>
                </a:extLst>
              </xdr:cNvPr>
              <xdr:cNvSpPr txBox="1"/>
            </xdr:nvSpPr>
            <xdr:spPr>
              <a:xfrm>
                <a:off x="17842130" y="6565066"/>
                <a:ext cx="552285" cy="2739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s-CO" sz="1100" i="1">
                              <a:latin typeface="Cambria Math" panose="02040503050406030204" pitchFamily="18" charset="0"/>
                            </a:rPr>
                            <m:t>𝐺𝑟𝑖𝑑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117" name="CuadroTexto 360">
                <a:extLst>
                  <a:ext uri="{FF2B5EF4-FFF2-40B4-BE49-F238E27FC236}">
                    <a16:creationId xmlns:a16="http://schemas.microsoft.com/office/drawing/2014/main" id="{00A07D6D-4599-4F17-9712-26CB74679450}"/>
                  </a:ext>
                </a:extLst>
              </xdr:cNvPr>
              <xdr:cNvSpPr txBox="1"/>
            </xdr:nvSpPr>
            <xdr:spPr>
              <a:xfrm>
                <a:off x="17842130" y="6565066"/>
                <a:ext cx="552285" cy="2739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s-CO" sz="1100" i="0">
                    <a:latin typeface="Cambria Math" panose="02040503050406030204" pitchFamily="18" charset="0"/>
                  </a:rPr>
                  <a:t>𝐺𝑟𝑖𝑑</a:t>
                </a:r>
                <a:endParaRPr lang="en-US" sz="1100"/>
              </a:p>
            </xdr:txBody>
          </xdr:sp>
        </mc:Fallback>
      </mc:AlternateContent>
      <xdr:sp macro="" textlink="">
        <xdr:nvSpPr>
          <xdr:cNvPr id="118" name="CuadroTexto 361">
            <a:extLst>
              <a:ext uri="{FF2B5EF4-FFF2-40B4-BE49-F238E27FC236}">
                <a16:creationId xmlns:a16="http://schemas.microsoft.com/office/drawing/2014/main" id="{1A99367F-9413-4663-8AB7-4E386CFB9640}"/>
              </a:ext>
            </a:extLst>
          </xdr:cNvPr>
          <xdr:cNvSpPr txBox="1"/>
        </xdr:nvSpPr>
        <xdr:spPr>
          <a:xfrm>
            <a:off x="4033039" y="4372124"/>
            <a:ext cx="638876" cy="26497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EFB</a:t>
            </a:r>
          </a:p>
          <a:p>
            <a:pPr algn="ctr"/>
            <a:r>
              <a:rPr lang="en-US" sz="1100"/>
              <a:t>Pressed</a:t>
            </a:r>
          </a:p>
        </xdr:txBody>
      </xdr:sp>
      <xdr:sp macro="" textlink="">
        <xdr:nvSpPr>
          <xdr:cNvPr id="119" name="CuadroTexto 364">
            <a:extLst>
              <a:ext uri="{FF2B5EF4-FFF2-40B4-BE49-F238E27FC236}">
                <a16:creationId xmlns:a16="http://schemas.microsoft.com/office/drawing/2014/main" id="{24A4C1D4-658C-4AE7-9957-3742703C1F0A}"/>
              </a:ext>
            </a:extLst>
          </xdr:cNvPr>
          <xdr:cNvSpPr txBox="1"/>
        </xdr:nvSpPr>
        <xdr:spPr>
          <a:xfrm>
            <a:off x="7242771" y="4187414"/>
            <a:ext cx="463911" cy="22211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PKS</a:t>
            </a:r>
          </a:p>
        </xdr:txBody>
      </xdr:sp>
      <xdr:cxnSp macro="">
        <xdr:nvCxnSpPr>
          <xdr:cNvPr id="120" name="Conector recto de flecha 119">
            <a:extLst>
              <a:ext uri="{FF2B5EF4-FFF2-40B4-BE49-F238E27FC236}">
                <a16:creationId xmlns:a16="http://schemas.microsoft.com/office/drawing/2014/main" id="{8A54EEDC-738C-4FCC-AC22-CAF7B5D68E63}"/>
              </a:ext>
            </a:extLst>
          </xdr:cNvPr>
          <xdr:cNvCxnSpPr>
            <a:cxnSpLocks/>
          </xdr:cNvCxnSpPr>
        </xdr:nvCxnSpPr>
        <xdr:spPr>
          <a:xfrm flipV="1">
            <a:off x="10030933" y="1464927"/>
            <a:ext cx="453221" cy="121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21" name="Conector recto de flecha 120">
            <a:extLst>
              <a:ext uri="{FF2B5EF4-FFF2-40B4-BE49-F238E27FC236}">
                <a16:creationId xmlns:a16="http://schemas.microsoft.com/office/drawing/2014/main" id="{3E9951AB-0FE0-478D-8A64-837945210CF6}"/>
              </a:ext>
            </a:extLst>
          </xdr:cNvPr>
          <xdr:cNvCxnSpPr>
            <a:cxnSpLocks/>
          </xdr:cNvCxnSpPr>
        </xdr:nvCxnSpPr>
        <xdr:spPr>
          <a:xfrm flipV="1">
            <a:off x="10030933" y="1776819"/>
            <a:ext cx="453221" cy="121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2" name="CuadroTexto 368">
            <a:extLst>
              <a:ext uri="{FF2B5EF4-FFF2-40B4-BE49-F238E27FC236}">
                <a16:creationId xmlns:a16="http://schemas.microsoft.com/office/drawing/2014/main" id="{AAD7C862-9AC6-440A-A1FD-F36239942C2F}"/>
              </a:ext>
            </a:extLst>
          </xdr:cNvPr>
          <xdr:cNvSpPr txBox="1"/>
        </xdr:nvSpPr>
        <xdr:spPr>
          <a:xfrm>
            <a:off x="10332074" y="1322899"/>
            <a:ext cx="638876" cy="26844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CPO</a:t>
            </a:r>
          </a:p>
        </xdr:txBody>
      </xdr:sp>
      <xdr:sp macro="" textlink="">
        <xdr:nvSpPr>
          <xdr:cNvPr id="123" name="CuadroTexto 369">
            <a:extLst>
              <a:ext uri="{FF2B5EF4-FFF2-40B4-BE49-F238E27FC236}">
                <a16:creationId xmlns:a16="http://schemas.microsoft.com/office/drawing/2014/main" id="{5CC7749F-2650-4B95-BBA3-90FAA4288633}"/>
              </a:ext>
            </a:extLst>
          </xdr:cNvPr>
          <xdr:cNvSpPr txBox="1"/>
        </xdr:nvSpPr>
        <xdr:spPr>
          <a:xfrm>
            <a:off x="10335442" y="1643667"/>
            <a:ext cx="638876" cy="26844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KPO</a:t>
            </a:r>
          </a:p>
        </xdr:txBody>
      </xdr:sp>
      <xdr:cxnSp macro="">
        <xdr:nvCxnSpPr>
          <xdr:cNvPr id="124" name="Conector recto de flecha 123">
            <a:extLst>
              <a:ext uri="{FF2B5EF4-FFF2-40B4-BE49-F238E27FC236}">
                <a16:creationId xmlns:a16="http://schemas.microsoft.com/office/drawing/2014/main" id="{3BA6DD04-E542-4EA0-90C8-14E642FAAB07}"/>
              </a:ext>
            </a:extLst>
          </xdr:cNvPr>
          <xdr:cNvCxnSpPr>
            <a:cxnSpLocks/>
          </xdr:cNvCxnSpPr>
        </xdr:nvCxnSpPr>
        <xdr:spPr>
          <a:xfrm>
            <a:off x="9587889" y="3999079"/>
            <a:ext cx="0" cy="296841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5" name="CuadroTexto 371">
            <a:extLst>
              <a:ext uri="{FF2B5EF4-FFF2-40B4-BE49-F238E27FC236}">
                <a16:creationId xmlns:a16="http://schemas.microsoft.com/office/drawing/2014/main" id="{81058AE0-B25E-4D50-9BCA-822A5F33BE4F}"/>
              </a:ext>
            </a:extLst>
          </xdr:cNvPr>
          <xdr:cNvSpPr txBox="1"/>
        </xdr:nvSpPr>
        <xdr:spPr>
          <a:xfrm>
            <a:off x="9277426" y="4485638"/>
            <a:ext cx="638876" cy="44214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Kernel cake</a:t>
            </a:r>
          </a:p>
        </xdr:txBody>
      </xdr:sp>
      <xdr:cxnSp macro="">
        <xdr:nvCxnSpPr>
          <xdr:cNvPr id="126" name="Conector recto de flecha 125">
            <a:extLst>
              <a:ext uri="{FF2B5EF4-FFF2-40B4-BE49-F238E27FC236}">
                <a16:creationId xmlns:a16="http://schemas.microsoft.com/office/drawing/2014/main" id="{E8548CEA-233F-422A-9546-3B5F0FC3E4AA}"/>
              </a:ext>
            </a:extLst>
          </xdr:cNvPr>
          <xdr:cNvCxnSpPr/>
        </xdr:nvCxnSpPr>
        <xdr:spPr>
          <a:xfrm>
            <a:off x="15836700" y="3128526"/>
            <a:ext cx="859137" cy="0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27" name="CuadroTexto 3">
                <a:extLst>
                  <a:ext uri="{FF2B5EF4-FFF2-40B4-BE49-F238E27FC236}">
                    <a16:creationId xmlns:a16="http://schemas.microsoft.com/office/drawing/2014/main" id="{7A373387-074C-475B-991C-96FDECD4DAF4}"/>
                  </a:ext>
                </a:extLst>
              </xdr:cNvPr>
              <xdr:cNvSpPr txBox="1"/>
            </xdr:nvSpPr>
            <xdr:spPr>
              <a:xfrm flipH="1">
                <a:off x="16129855" y="2732483"/>
                <a:ext cx="789826" cy="252651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000" i="1">
                          <a:latin typeface="Cambria Math" panose="02040503050406030204" pitchFamily="18" charset="0"/>
                        </a:rPr>
                        <m:t>𝐸𝑥h𝑎𝑢𝑠𝑡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CO" sz="1000" i="1">
                          <a:latin typeface="Cambria Math" panose="02040503050406030204" pitchFamily="18" charset="0"/>
                        </a:rPr>
                        <m:t>𝑔𝑎𝑠</m:t>
                      </m:r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127" name="CuadroTexto 3">
                <a:extLst>
                  <a:ext uri="{FF2B5EF4-FFF2-40B4-BE49-F238E27FC236}">
                    <a16:creationId xmlns:a16="http://schemas.microsoft.com/office/drawing/2014/main" id="{7A373387-074C-475B-991C-96FDECD4DAF4}"/>
                  </a:ext>
                </a:extLst>
              </xdr:cNvPr>
              <xdr:cNvSpPr txBox="1"/>
            </xdr:nvSpPr>
            <xdr:spPr>
              <a:xfrm flipH="1">
                <a:off x="16129855" y="2732483"/>
                <a:ext cx="789826" cy="252651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𝐸𝑥ℎ𝑎𝑢𝑠𝑡 𝑔𝑎𝑠</a:t>
                </a:r>
                <a:endParaRPr lang="en-US" sz="1000"/>
              </a:p>
            </xdr:txBody>
          </xdr:sp>
        </mc:Fallback>
      </mc:AlternateContent>
      <xdr:cxnSp macro="">
        <xdr:nvCxnSpPr>
          <xdr:cNvPr id="128" name="Conector recto de flecha 127">
            <a:extLst>
              <a:ext uri="{FF2B5EF4-FFF2-40B4-BE49-F238E27FC236}">
                <a16:creationId xmlns:a16="http://schemas.microsoft.com/office/drawing/2014/main" id="{38A6BCB7-27D0-4CC4-A2A2-23461319FD12}"/>
              </a:ext>
            </a:extLst>
          </xdr:cNvPr>
          <xdr:cNvCxnSpPr>
            <a:cxnSpLocks/>
          </xdr:cNvCxnSpPr>
        </xdr:nvCxnSpPr>
        <xdr:spPr>
          <a:xfrm>
            <a:off x="17082860" y="5967961"/>
            <a:ext cx="627176" cy="0"/>
          </a:xfrm>
          <a:prstGeom prst="straightConnector1">
            <a:avLst/>
          </a:prstGeom>
          <a:ln w="19050" cmpd="thickThin">
            <a:solidFill>
              <a:schemeClr val="accent4">
                <a:lumMod val="60000"/>
                <a:lumOff val="40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29" name="CuadroTexto 360">
                <a:extLst>
                  <a:ext uri="{FF2B5EF4-FFF2-40B4-BE49-F238E27FC236}">
                    <a16:creationId xmlns:a16="http://schemas.microsoft.com/office/drawing/2014/main" id="{E6ABFCD5-EF6B-456E-BF35-6C5F00F671E3}"/>
                  </a:ext>
                </a:extLst>
              </xdr:cNvPr>
              <xdr:cNvSpPr txBox="1"/>
            </xdr:nvSpPr>
            <xdr:spPr>
              <a:xfrm>
                <a:off x="16998403" y="5649367"/>
                <a:ext cx="638876" cy="271899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10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</m:acc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𝑑𝑖𝑒𝑠𝑒𝑙</m:t>
                          </m:r>
                        </m:sub>
                      </m:sSub>
                    </m:oMath>
                  </m:oMathPara>
                </a14:m>
                <a:endParaRPr lang="en-US" sz="1100"/>
              </a:p>
            </xdr:txBody>
          </xdr:sp>
        </mc:Choice>
        <mc:Fallback xmlns="">
          <xdr:sp macro="" textlink="">
            <xdr:nvSpPr>
              <xdr:cNvPr id="129" name="CuadroTexto 360">
                <a:extLst>
                  <a:ext uri="{FF2B5EF4-FFF2-40B4-BE49-F238E27FC236}">
                    <a16:creationId xmlns:a16="http://schemas.microsoft.com/office/drawing/2014/main" id="{E6ABFCD5-EF6B-456E-BF35-6C5F00F671E3}"/>
                  </a:ext>
                </a:extLst>
              </xdr:cNvPr>
              <xdr:cNvSpPr txBox="1"/>
            </xdr:nvSpPr>
            <xdr:spPr>
              <a:xfrm>
                <a:off x="16998403" y="5649367"/>
                <a:ext cx="638876" cy="271899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100" i="0">
                    <a:latin typeface="Cambria Math" panose="02040503050406030204" pitchFamily="18" charset="0"/>
                  </a:rPr>
                  <a:t>𝑊</a:t>
                </a:r>
                <a:r>
                  <a:rPr lang="en-US" sz="1100" i="0">
                    <a:latin typeface="Cambria Math" panose="02040503050406030204" pitchFamily="18" charset="0"/>
                  </a:rPr>
                  <a:t> ̇_</a:t>
                </a:r>
                <a:r>
                  <a:rPr lang="en-US" sz="1100" b="0" i="0">
                    <a:latin typeface="Cambria Math" panose="02040503050406030204" pitchFamily="18" charset="0"/>
                  </a:rPr>
                  <a:t>𝑑𝑖𝑒𝑠𝑒𝑙</a:t>
                </a:r>
                <a:endParaRPr lang="en-US" sz="1100"/>
              </a:p>
            </xdr:txBody>
          </xdr:sp>
        </mc:Fallback>
      </mc:AlternateContent>
      <xdr:sp macro="" textlink="">
        <xdr:nvSpPr>
          <xdr:cNvPr id="130" name="CuadroTexto 361">
            <a:extLst>
              <a:ext uri="{FF2B5EF4-FFF2-40B4-BE49-F238E27FC236}">
                <a16:creationId xmlns:a16="http://schemas.microsoft.com/office/drawing/2014/main" id="{262AE463-2885-44F9-8223-1A9FFDE0AC02}"/>
              </a:ext>
            </a:extLst>
          </xdr:cNvPr>
          <xdr:cNvSpPr txBox="1"/>
        </xdr:nvSpPr>
        <xdr:spPr>
          <a:xfrm>
            <a:off x="4613947" y="3754303"/>
            <a:ext cx="782972" cy="268443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To </a:t>
            </a:r>
          </a:p>
          <a:p>
            <a:pPr algn="ctr"/>
            <a:r>
              <a:rPr lang="en-US" sz="1100"/>
              <a:t>clarification</a:t>
            </a:r>
          </a:p>
          <a:p>
            <a:pPr algn="ctr"/>
            <a:endParaRPr lang="en-US" sz="1100"/>
          </a:p>
        </xdr:txBody>
      </xdr:sp>
      <xdr:cxnSp macro="">
        <xdr:nvCxnSpPr>
          <xdr:cNvPr id="131" name="Conector: angular 130">
            <a:extLst>
              <a:ext uri="{FF2B5EF4-FFF2-40B4-BE49-F238E27FC236}">
                <a16:creationId xmlns:a16="http://schemas.microsoft.com/office/drawing/2014/main" id="{786F063A-C601-4395-842F-52F76A50893B}"/>
              </a:ext>
            </a:extLst>
          </xdr:cNvPr>
          <xdr:cNvCxnSpPr/>
        </xdr:nvCxnSpPr>
        <xdr:spPr>
          <a:xfrm rot="10800000">
            <a:off x="8078069" y="3991841"/>
            <a:ext cx="3508662" cy="1326573"/>
          </a:xfrm>
          <a:prstGeom prst="bentConnector3">
            <a:avLst>
              <a:gd name="adj1" fmla="val 99886"/>
            </a:avLst>
          </a:prstGeom>
          <a:ln>
            <a:headEnd type="none" w="med" len="med"/>
            <a:tailEnd type="triangle" w="med" len="med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" name="Conector recto de flecha 131">
            <a:extLst>
              <a:ext uri="{FF2B5EF4-FFF2-40B4-BE49-F238E27FC236}">
                <a16:creationId xmlns:a16="http://schemas.microsoft.com/office/drawing/2014/main" id="{59AAAB48-3EC6-4FB1-849E-8D465B46C722}"/>
              </a:ext>
            </a:extLst>
          </xdr:cNvPr>
          <xdr:cNvCxnSpPr>
            <a:cxnSpLocks/>
            <a:stCxn id="6" idx="2"/>
          </xdr:cNvCxnSpPr>
        </xdr:nvCxnSpPr>
        <xdr:spPr>
          <a:xfrm flipH="1">
            <a:off x="5919355" y="3995619"/>
            <a:ext cx="1641" cy="435238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3" name="CuadroTexto 364">
            <a:extLst>
              <a:ext uri="{FF2B5EF4-FFF2-40B4-BE49-F238E27FC236}">
                <a16:creationId xmlns:a16="http://schemas.microsoft.com/office/drawing/2014/main" id="{1FE497A6-6107-440B-9748-612381930F6C}"/>
              </a:ext>
            </a:extLst>
          </xdr:cNvPr>
          <xdr:cNvSpPr txBox="1"/>
        </xdr:nvSpPr>
        <xdr:spPr>
          <a:xfrm>
            <a:off x="5403735" y="4284854"/>
            <a:ext cx="405896" cy="21518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Fiber</a:t>
            </a:r>
          </a:p>
        </xdr:txBody>
      </xdr:sp>
      <xdr:cxnSp macro="">
        <xdr:nvCxnSpPr>
          <xdr:cNvPr id="134" name="Conector recto de flecha 133">
            <a:extLst>
              <a:ext uri="{FF2B5EF4-FFF2-40B4-BE49-F238E27FC236}">
                <a16:creationId xmlns:a16="http://schemas.microsoft.com/office/drawing/2014/main" id="{F6A81D37-9BE3-451D-A836-8B84E6A7E76A}"/>
              </a:ext>
            </a:extLst>
          </xdr:cNvPr>
          <xdr:cNvCxnSpPr>
            <a:stCxn id="9" idx="3"/>
          </xdr:cNvCxnSpPr>
        </xdr:nvCxnSpPr>
        <xdr:spPr>
          <a:xfrm flipV="1">
            <a:off x="4522753" y="3708689"/>
            <a:ext cx="327204" cy="208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Conector recto de flecha 134">
            <a:extLst>
              <a:ext uri="{FF2B5EF4-FFF2-40B4-BE49-F238E27FC236}">
                <a16:creationId xmlns:a16="http://schemas.microsoft.com/office/drawing/2014/main" id="{4A265808-F2D0-4002-B89D-DD2A2FB49E71}"/>
              </a:ext>
            </a:extLst>
          </xdr:cNvPr>
          <xdr:cNvCxnSpPr>
            <a:cxnSpLocks/>
          </xdr:cNvCxnSpPr>
        </xdr:nvCxnSpPr>
        <xdr:spPr>
          <a:xfrm flipH="1" flipV="1">
            <a:off x="1942144" y="897559"/>
            <a:ext cx="1235" cy="44912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36" name="CuadroTexto 94">
                <a:extLst>
                  <a:ext uri="{FF2B5EF4-FFF2-40B4-BE49-F238E27FC236}">
                    <a16:creationId xmlns:a16="http://schemas.microsoft.com/office/drawing/2014/main" id="{CB34461A-E704-4721-A56E-3AD389DF095E}"/>
                  </a:ext>
                </a:extLst>
              </xdr:cNvPr>
              <xdr:cNvSpPr txBox="1"/>
            </xdr:nvSpPr>
            <xdr:spPr>
              <a:xfrm flipH="1">
                <a:off x="1232577" y="858146"/>
                <a:ext cx="638475" cy="259690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0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0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00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e>
                          </m:acc>
                        </m:e>
                        <m:sub>
                          <m:r>
                            <a:rPr lang="es-CO" sz="1000" b="0" i="1">
                              <a:latin typeface="Cambria Math" panose="02040503050406030204" pitchFamily="18" charset="0"/>
                            </a:rPr>
                            <m:t>𝑠𝑡𝑒</m:t>
                          </m:r>
                          <m:r>
                            <a:rPr lang="es-CO" sz="1000" b="0" i="1">
                              <a:latin typeface="Cambria Math" panose="02040503050406030204" pitchFamily="18" charset="0"/>
                            </a:rPr>
                            <m:t>_</m:t>
                          </m:r>
                          <m:r>
                            <a:rPr lang="es-CO" sz="1000" b="0" i="1">
                              <a:latin typeface="Cambria Math" panose="02040503050406030204" pitchFamily="18" charset="0"/>
                            </a:rPr>
                            <m:t>𝑜𝑢𝑡</m:t>
                          </m:r>
                        </m:sub>
                      </m:sSub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136" name="CuadroTexto 94">
                <a:extLst>
                  <a:ext uri="{FF2B5EF4-FFF2-40B4-BE49-F238E27FC236}">
                    <a16:creationId xmlns:a16="http://schemas.microsoft.com/office/drawing/2014/main" id="{CB34461A-E704-4721-A56E-3AD389DF095E}"/>
                  </a:ext>
                </a:extLst>
              </xdr:cNvPr>
              <xdr:cNvSpPr txBox="1"/>
            </xdr:nvSpPr>
            <xdr:spPr>
              <a:xfrm flipH="1">
                <a:off x="1232577" y="858146"/>
                <a:ext cx="638475" cy="259690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𝑄</a:t>
                </a:r>
                <a:r>
                  <a:rPr lang="en-US" sz="1000" i="0">
                    <a:latin typeface="Cambria Math" panose="02040503050406030204" pitchFamily="18" charset="0"/>
                  </a:rPr>
                  <a:t> ̇_(</a:t>
                </a:r>
                <a:r>
                  <a:rPr lang="es-CO" sz="1000" b="0" i="0">
                    <a:latin typeface="Cambria Math" panose="02040503050406030204" pitchFamily="18" charset="0"/>
                  </a:rPr>
                  <a:t>𝑠𝑡𝑒_𝑜𝑢𝑡</a:t>
                </a:r>
                <a:r>
                  <a:rPr lang="en-US" sz="1000" b="0" i="0">
                    <a:latin typeface="Cambria Math" panose="02040503050406030204" pitchFamily="18" charset="0"/>
                  </a:rPr>
                  <a:t>)</a:t>
                </a:r>
                <a:endParaRPr lang="en-US" sz="1000"/>
              </a:p>
            </xdr:txBody>
          </xdr:sp>
        </mc:Fallback>
      </mc:AlternateContent>
      <xdr:cxnSp macro="">
        <xdr:nvCxnSpPr>
          <xdr:cNvPr id="137" name="Conector: angular 136">
            <a:extLst>
              <a:ext uri="{FF2B5EF4-FFF2-40B4-BE49-F238E27FC236}">
                <a16:creationId xmlns:a16="http://schemas.microsoft.com/office/drawing/2014/main" id="{4FA4577E-4506-4326-913D-65DA50EB77E8}"/>
              </a:ext>
            </a:extLst>
          </xdr:cNvPr>
          <xdr:cNvCxnSpPr>
            <a:stCxn id="83" idx="3"/>
          </xdr:cNvCxnSpPr>
        </xdr:nvCxnSpPr>
        <xdr:spPr>
          <a:xfrm rot="10800000">
            <a:off x="3393273" y="7893184"/>
            <a:ext cx="224589" cy="1351108"/>
          </a:xfrm>
          <a:prstGeom prst="bentConnector2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Conector recto 137">
            <a:extLst>
              <a:ext uri="{FF2B5EF4-FFF2-40B4-BE49-F238E27FC236}">
                <a16:creationId xmlns:a16="http://schemas.microsoft.com/office/drawing/2014/main" id="{54533226-ECAF-416E-8EA8-5D2BBF5DDED5}"/>
              </a:ext>
            </a:extLst>
          </xdr:cNvPr>
          <xdr:cNvCxnSpPr/>
        </xdr:nvCxnSpPr>
        <xdr:spPr>
          <a:xfrm flipV="1">
            <a:off x="3394792" y="7900730"/>
            <a:ext cx="232930" cy="4329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" name="Conector recto de flecha 138">
            <a:extLst>
              <a:ext uri="{FF2B5EF4-FFF2-40B4-BE49-F238E27FC236}">
                <a16:creationId xmlns:a16="http://schemas.microsoft.com/office/drawing/2014/main" id="{E5201882-4471-4C30-A5E1-A187BF22E35F}"/>
              </a:ext>
            </a:extLst>
          </xdr:cNvPr>
          <xdr:cNvCxnSpPr/>
        </xdr:nvCxnSpPr>
        <xdr:spPr>
          <a:xfrm flipH="1">
            <a:off x="3174498" y="8486440"/>
            <a:ext cx="228116" cy="5493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40" name="Grupo 139">
            <a:extLst>
              <a:ext uri="{FF2B5EF4-FFF2-40B4-BE49-F238E27FC236}">
                <a16:creationId xmlns:a16="http://schemas.microsoft.com/office/drawing/2014/main" id="{45545952-EF6C-4936-A32D-C939E79730D9}"/>
              </a:ext>
            </a:extLst>
          </xdr:cNvPr>
          <xdr:cNvGrpSpPr/>
        </xdr:nvGrpSpPr>
        <xdr:grpSpPr>
          <a:xfrm>
            <a:off x="12773699" y="6334585"/>
            <a:ext cx="268950" cy="285964"/>
            <a:chOff x="1951500" y="9092283"/>
            <a:chExt cx="288000" cy="288000"/>
          </a:xfrm>
        </xdr:grpSpPr>
        <xdr:sp macro="" textlink="">
          <xdr:nvSpPr>
            <xdr:cNvPr id="141" name="Elipse 140">
              <a:extLst>
                <a:ext uri="{FF2B5EF4-FFF2-40B4-BE49-F238E27FC236}">
                  <a16:creationId xmlns:a16="http://schemas.microsoft.com/office/drawing/2014/main" id="{40C98430-7B04-760A-0781-BDEAD1608911}"/>
                </a:ext>
              </a:extLst>
            </xdr:cNvPr>
            <xdr:cNvSpPr/>
          </xdr:nvSpPr>
          <xdr:spPr>
            <a:xfrm rot="5400000" flipH="1">
              <a:off x="1951500" y="9092283"/>
              <a:ext cx="288000" cy="288000"/>
            </a:xfrm>
            <a:prstGeom prst="ellipse">
              <a:avLst/>
            </a:prstGeom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 sz="2657"/>
            </a:p>
          </xdr:txBody>
        </xdr:sp>
        <xdr:sp macro="" textlink="">
          <xdr:nvSpPr>
            <xdr:cNvPr id="142" name="Rectángulo 141">
              <a:extLst>
                <a:ext uri="{FF2B5EF4-FFF2-40B4-BE49-F238E27FC236}">
                  <a16:creationId xmlns:a16="http://schemas.microsoft.com/office/drawing/2014/main" id="{5F627A2B-55EF-963C-1122-8C43E1983A71}"/>
                </a:ext>
              </a:extLst>
            </xdr:cNvPr>
            <xdr:cNvSpPr/>
          </xdr:nvSpPr>
          <xdr:spPr>
            <a:xfrm rot="2699776">
              <a:off x="2005500" y="9146283"/>
              <a:ext cx="180000" cy="180000"/>
            </a:xfrm>
            <a:prstGeom prst="rect">
              <a:avLst/>
            </a:prstGeom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/>
            </a:p>
          </xdr:txBody>
        </xdr:sp>
      </xdr:grpSp>
      <xdr:grpSp>
        <xdr:nvGrpSpPr>
          <xdr:cNvPr id="143" name="Grupo 142">
            <a:extLst>
              <a:ext uri="{FF2B5EF4-FFF2-40B4-BE49-F238E27FC236}">
                <a16:creationId xmlns:a16="http://schemas.microsoft.com/office/drawing/2014/main" id="{BB0438B9-64FF-4CDF-8583-54D954C129BD}"/>
              </a:ext>
            </a:extLst>
          </xdr:cNvPr>
          <xdr:cNvGrpSpPr/>
        </xdr:nvGrpSpPr>
        <xdr:grpSpPr>
          <a:xfrm>
            <a:off x="15492806" y="5665398"/>
            <a:ext cx="1058229" cy="515799"/>
            <a:chOff x="18282052" y="6363218"/>
            <a:chExt cx="1231410" cy="518855"/>
          </a:xfrm>
        </xdr:grpSpPr>
        <xdr:grpSp>
          <xdr:nvGrpSpPr>
            <xdr:cNvPr id="144" name="Grupo 143">
              <a:extLst>
                <a:ext uri="{FF2B5EF4-FFF2-40B4-BE49-F238E27FC236}">
                  <a16:creationId xmlns:a16="http://schemas.microsoft.com/office/drawing/2014/main" id="{E7C16069-7446-5415-88DA-DF3F7CF029AE}"/>
                </a:ext>
              </a:extLst>
            </xdr:cNvPr>
            <xdr:cNvGrpSpPr/>
          </xdr:nvGrpSpPr>
          <xdr:grpSpPr>
            <a:xfrm>
              <a:off x="18282052" y="6582242"/>
              <a:ext cx="853410" cy="299831"/>
              <a:chOff x="1617391" y="8551315"/>
              <a:chExt cx="853410" cy="296903"/>
            </a:xfrm>
          </xdr:grpSpPr>
          <xdr:sp macro="" textlink="">
            <xdr:nvSpPr>
              <xdr:cNvPr id="148" name="Elipse 147">
                <a:extLst>
                  <a:ext uri="{FF2B5EF4-FFF2-40B4-BE49-F238E27FC236}">
                    <a16:creationId xmlns:a16="http://schemas.microsoft.com/office/drawing/2014/main" id="{AC8F637E-FCD3-A0CD-5A5B-463EF6EBBBA6}"/>
                  </a:ext>
                </a:extLst>
              </xdr:cNvPr>
              <xdr:cNvSpPr/>
            </xdr:nvSpPr>
            <xdr:spPr>
              <a:xfrm rot="5400000" flipH="1">
                <a:off x="1617391" y="8560218"/>
                <a:ext cx="288000" cy="288000"/>
              </a:xfrm>
              <a:prstGeom prst="ellipse">
                <a:avLst/>
              </a:prstGeom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CO" sz="2657"/>
              </a:p>
            </xdr:txBody>
          </xdr:sp>
          <xdr:cxnSp macro="">
            <xdr:nvCxnSpPr>
              <xdr:cNvPr id="149" name="Conector recto de flecha 148">
                <a:extLst>
                  <a:ext uri="{FF2B5EF4-FFF2-40B4-BE49-F238E27FC236}">
                    <a16:creationId xmlns:a16="http://schemas.microsoft.com/office/drawing/2014/main" id="{3D39C571-5445-9140-D475-D482E3A5821B}"/>
                  </a:ext>
                </a:extLst>
              </xdr:cNvPr>
              <xdr:cNvCxnSpPr>
                <a:cxnSpLocks/>
                <a:endCxn id="146" idx="1"/>
              </xdr:cNvCxnSpPr>
            </xdr:nvCxnSpPr>
            <xdr:spPr>
              <a:xfrm>
                <a:off x="1659568" y="8800039"/>
                <a:ext cx="757233" cy="8408"/>
              </a:xfrm>
              <a:prstGeom prst="straightConnector1">
                <a:avLst/>
              </a:prstGeom>
              <a:ln w="19050"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50" name="Conector recto de flecha 149">
                <a:extLst>
                  <a:ext uri="{FF2B5EF4-FFF2-40B4-BE49-F238E27FC236}">
                    <a16:creationId xmlns:a16="http://schemas.microsoft.com/office/drawing/2014/main" id="{12EB3170-7456-11F0-AD1D-A3AB69DB53B6}"/>
                  </a:ext>
                </a:extLst>
              </xdr:cNvPr>
              <xdr:cNvCxnSpPr>
                <a:cxnSpLocks/>
                <a:endCxn id="147" idx="1"/>
              </xdr:cNvCxnSpPr>
            </xdr:nvCxnSpPr>
            <xdr:spPr>
              <a:xfrm flipV="1">
                <a:off x="1659568" y="8551315"/>
                <a:ext cx="811233" cy="58227"/>
              </a:xfrm>
              <a:prstGeom prst="straightConnector1">
                <a:avLst/>
              </a:prstGeom>
              <a:ln w="19050"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51" name="Conector recto de flecha 150">
                <a:extLst>
                  <a:ext uri="{FF2B5EF4-FFF2-40B4-BE49-F238E27FC236}">
                    <a16:creationId xmlns:a16="http://schemas.microsoft.com/office/drawing/2014/main" id="{81212BDA-EF6C-9934-D17D-8EC1E844DA4D}"/>
                  </a:ext>
                </a:extLst>
              </xdr:cNvPr>
              <xdr:cNvCxnSpPr>
                <a:cxnSpLocks/>
                <a:stCxn id="148" idx="3"/>
                <a:endCxn id="148" idx="0"/>
              </xdr:cNvCxnSpPr>
            </xdr:nvCxnSpPr>
            <xdr:spPr>
              <a:xfrm flipV="1">
                <a:off x="1659568" y="8704218"/>
                <a:ext cx="245823" cy="101823"/>
              </a:xfrm>
              <a:prstGeom prst="straightConnector1">
                <a:avLst/>
              </a:prstGeom>
              <a:ln w="19050"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52" name="Conector recto de flecha 151">
                <a:extLst>
                  <a:ext uri="{FF2B5EF4-FFF2-40B4-BE49-F238E27FC236}">
                    <a16:creationId xmlns:a16="http://schemas.microsoft.com/office/drawing/2014/main" id="{FA49431D-6BFC-927C-6821-0A699F998C3F}"/>
                  </a:ext>
                </a:extLst>
              </xdr:cNvPr>
              <xdr:cNvCxnSpPr>
                <a:cxnSpLocks/>
                <a:stCxn id="148" idx="5"/>
                <a:endCxn id="148" idx="0"/>
              </xdr:cNvCxnSpPr>
            </xdr:nvCxnSpPr>
            <xdr:spPr>
              <a:xfrm>
                <a:off x="1659568" y="8602395"/>
                <a:ext cx="245823" cy="101823"/>
              </a:xfrm>
              <a:prstGeom prst="straightConnector1">
                <a:avLst/>
              </a:prstGeom>
              <a:ln w="19050">
                <a:headEnd type="none" w="med" len="med"/>
                <a:tailEnd type="none" w="med" len="med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145" name="Grupo 144">
              <a:extLst>
                <a:ext uri="{FF2B5EF4-FFF2-40B4-BE49-F238E27FC236}">
                  <a16:creationId xmlns:a16="http://schemas.microsoft.com/office/drawing/2014/main" id="{FB3BDA76-6DE6-D607-6227-A5A85037C220}"/>
                </a:ext>
              </a:extLst>
            </xdr:cNvPr>
            <xdr:cNvGrpSpPr/>
          </xdr:nvGrpSpPr>
          <xdr:grpSpPr>
            <a:xfrm>
              <a:off x="19081462" y="6363218"/>
              <a:ext cx="432000" cy="515492"/>
              <a:chOff x="15928731" y="6601559"/>
              <a:chExt cx="432000" cy="506442"/>
            </a:xfrm>
          </xdr:grpSpPr>
          <xdr:sp macro="" textlink="">
            <xdr:nvSpPr>
              <xdr:cNvPr id="146" name="Rectángulo 145">
                <a:extLst>
                  <a:ext uri="{FF2B5EF4-FFF2-40B4-BE49-F238E27FC236}">
                    <a16:creationId xmlns:a16="http://schemas.microsoft.com/office/drawing/2014/main" id="{352DC1F1-2540-755F-4EE1-A2533F5CB686}"/>
                  </a:ext>
                </a:extLst>
              </xdr:cNvPr>
              <xdr:cNvSpPr/>
            </xdr:nvSpPr>
            <xdr:spPr>
              <a:xfrm>
                <a:off x="15928731" y="7036001"/>
                <a:ext cx="432000" cy="72000"/>
              </a:xfrm>
              <a:prstGeom prst="rect">
                <a:avLst/>
              </a:prstGeom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CO" sz="1100"/>
              </a:p>
            </xdr:txBody>
          </xdr:sp>
          <xdr:sp macro="" textlink="">
            <xdr:nvSpPr>
              <xdr:cNvPr id="147" name="Trapecio 146">
                <a:extLst>
                  <a:ext uri="{FF2B5EF4-FFF2-40B4-BE49-F238E27FC236}">
                    <a16:creationId xmlns:a16="http://schemas.microsoft.com/office/drawing/2014/main" id="{19801CAD-324C-BED9-1F94-8A9882DC16F6}"/>
                  </a:ext>
                </a:extLst>
              </xdr:cNvPr>
              <xdr:cNvSpPr/>
            </xdr:nvSpPr>
            <xdr:spPr>
              <a:xfrm>
                <a:off x="15928731" y="6601559"/>
                <a:ext cx="432000" cy="432000"/>
              </a:xfrm>
              <a:prstGeom prst="trapezoid">
                <a:avLst/>
              </a:prstGeom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CO" sz="1100"/>
              </a:p>
            </xdr:txBody>
          </xdr:sp>
        </xdr:grpSp>
      </xdr:grpSp>
      <xdr:cxnSp macro="">
        <xdr:nvCxnSpPr>
          <xdr:cNvPr id="153" name="Conector: angular 152">
            <a:extLst>
              <a:ext uri="{FF2B5EF4-FFF2-40B4-BE49-F238E27FC236}">
                <a16:creationId xmlns:a16="http://schemas.microsoft.com/office/drawing/2014/main" id="{ECA4698B-19B6-4CBF-8CC7-C5FC04806DB2}"/>
              </a:ext>
            </a:extLst>
          </xdr:cNvPr>
          <xdr:cNvCxnSpPr>
            <a:cxnSpLocks noChangeAspect="1"/>
            <a:stCxn id="91" idx="0"/>
            <a:endCxn id="56" idx="4"/>
          </xdr:cNvCxnSpPr>
        </xdr:nvCxnSpPr>
        <xdr:spPr>
          <a:xfrm rot="5400000" flipH="1" flipV="1">
            <a:off x="14171510" y="359716"/>
            <a:ext cx="124522" cy="2677849"/>
          </a:xfrm>
          <a:prstGeom prst="bentConnector3">
            <a:avLst>
              <a:gd name="adj1" fmla="val 1029511"/>
            </a:avLst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54" name="Conector: angular 153">
            <a:extLst>
              <a:ext uri="{FF2B5EF4-FFF2-40B4-BE49-F238E27FC236}">
                <a16:creationId xmlns:a16="http://schemas.microsoft.com/office/drawing/2014/main" id="{4EB2A29A-737E-4EBC-BEB3-BED7616D4821}"/>
              </a:ext>
            </a:extLst>
          </xdr:cNvPr>
          <xdr:cNvCxnSpPr>
            <a:cxnSpLocks noChangeAspect="1"/>
            <a:stCxn id="148" idx="2"/>
            <a:endCxn id="141" idx="0"/>
          </xdr:cNvCxnSpPr>
        </xdr:nvCxnSpPr>
        <xdr:spPr>
          <a:xfrm rot="5400000">
            <a:off x="14191545" y="5032304"/>
            <a:ext cx="296369" cy="2594157"/>
          </a:xfrm>
          <a:prstGeom prst="bentConnector2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55" name="Conector recto de flecha 154">
            <a:extLst>
              <a:ext uri="{FF2B5EF4-FFF2-40B4-BE49-F238E27FC236}">
                <a16:creationId xmlns:a16="http://schemas.microsoft.com/office/drawing/2014/main" id="{96BB4BC4-0740-4014-9BD6-E6DB4B974581}"/>
              </a:ext>
            </a:extLst>
          </xdr:cNvPr>
          <xdr:cNvCxnSpPr>
            <a:cxnSpLocks/>
            <a:stCxn id="141" idx="6"/>
            <a:endCxn id="158" idx="3"/>
          </xdr:cNvCxnSpPr>
        </xdr:nvCxnSpPr>
        <xdr:spPr>
          <a:xfrm flipH="1" flipV="1">
            <a:off x="12906314" y="3389848"/>
            <a:ext cx="11386" cy="2944738"/>
          </a:xfrm>
          <a:prstGeom prst="straightConnector1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56" name="Conector recto de flecha 155">
            <a:extLst>
              <a:ext uri="{FF2B5EF4-FFF2-40B4-BE49-F238E27FC236}">
                <a16:creationId xmlns:a16="http://schemas.microsoft.com/office/drawing/2014/main" id="{968679E1-16F4-414B-8CEA-3795996884D3}"/>
              </a:ext>
            </a:extLst>
          </xdr:cNvPr>
          <xdr:cNvCxnSpPr>
            <a:cxnSpLocks/>
            <a:stCxn id="94" idx="0"/>
            <a:endCxn id="158" idx="0"/>
          </xdr:cNvCxnSpPr>
        </xdr:nvCxnSpPr>
        <xdr:spPr>
          <a:xfrm>
            <a:off x="12281786" y="3206321"/>
            <a:ext cx="444528" cy="4546"/>
          </a:xfrm>
          <a:prstGeom prst="straightConnector1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grpSp>
        <xdr:nvGrpSpPr>
          <xdr:cNvPr id="157" name="Grupo 156">
            <a:extLst>
              <a:ext uri="{FF2B5EF4-FFF2-40B4-BE49-F238E27FC236}">
                <a16:creationId xmlns:a16="http://schemas.microsoft.com/office/drawing/2014/main" id="{059BB22A-AACD-4E32-B67B-01A70AD51D6C}"/>
              </a:ext>
            </a:extLst>
          </xdr:cNvPr>
          <xdr:cNvGrpSpPr/>
        </xdr:nvGrpSpPr>
        <xdr:grpSpPr>
          <a:xfrm>
            <a:off x="12726314" y="3031885"/>
            <a:ext cx="312375" cy="357963"/>
            <a:chOff x="16093838" y="4232610"/>
            <a:chExt cx="360000" cy="352396"/>
          </a:xfrm>
        </xdr:grpSpPr>
        <xdr:sp macro="" textlink="">
          <xdr:nvSpPr>
            <xdr:cNvPr id="158" name="Rectángulo: esquinas superiores redondeadas 157">
              <a:extLst>
                <a:ext uri="{FF2B5EF4-FFF2-40B4-BE49-F238E27FC236}">
                  <a16:creationId xmlns:a16="http://schemas.microsoft.com/office/drawing/2014/main" id="{C4BD1F58-1A31-1448-1E53-5121C8D1B983}"/>
                </a:ext>
              </a:extLst>
            </xdr:cNvPr>
            <xdr:cNvSpPr/>
          </xdr:nvSpPr>
          <xdr:spPr>
            <a:xfrm rot="10800000">
              <a:off x="16093838" y="4232610"/>
              <a:ext cx="360000" cy="352396"/>
            </a:xfrm>
            <a:prstGeom prst="round2SameRect">
              <a:avLst>
                <a:gd name="adj1" fmla="val 50000"/>
                <a:gd name="adj2" fmla="val 0"/>
              </a:avLst>
            </a:prstGeom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cxnSp macro="">
          <xdr:nvCxnSpPr>
            <xdr:cNvPr id="159" name="Conector recto 158">
              <a:extLst>
                <a:ext uri="{FF2B5EF4-FFF2-40B4-BE49-F238E27FC236}">
                  <a16:creationId xmlns:a16="http://schemas.microsoft.com/office/drawing/2014/main" id="{E838903A-1DC7-073E-7367-69E53EF7A997}"/>
                </a:ext>
              </a:extLst>
            </xdr:cNvPr>
            <xdr:cNvCxnSpPr/>
          </xdr:nvCxnSpPr>
          <xdr:spPr>
            <a:xfrm flipH="1">
              <a:off x="16277962" y="4299857"/>
              <a:ext cx="105038" cy="103050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Conector recto 159">
              <a:extLst>
                <a:ext uri="{FF2B5EF4-FFF2-40B4-BE49-F238E27FC236}">
                  <a16:creationId xmlns:a16="http://schemas.microsoft.com/office/drawing/2014/main" id="{21D5A1BC-23D4-AE5F-00B8-260157835C52}"/>
                </a:ext>
              </a:extLst>
            </xdr:cNvPr>
            <xdr:cNvCxnSpPr/>
          </xdr:nvCxnSpPr>
          <xdr:spPr>
            <a:xfrm flipH="1" flipV="1">
              <a:off x="16175491" y="4303259"/>
              <a:ext cx="98801" cy="100623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1" name="Conector recto 160">
              <a:extLst>
                <a:ext uri="{FF2B5EF4-FFF2-40B4-BE49-F238E27FC236}">
                  <a16:creationId xmlns:a16="http://schemas.microsoft.com/office/drawing/2014/main" id="{76988EF3-A22D-2B0A-D940-73EF5C29C3CA}"/>
                </a:ext>
              </a:extLst>
            </xdr:cNvPr>
            <xdr:cNvCxnSpPr/>
          </xdr:nvCxnSpPr>
          <xdr:spPr>
            <a:xfrm rot="5400000">
              <a:off x="16201211" y="4473182"/>
              <a:ext cx="144000" cy="166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62" name="Conector recto de flecha 161">
            <a:extLst>
              <a:ext uri="{FF2B5EF4-FFF2-40B4-BE49-F238E27FC236}">
                <a16:creationId xmlns:a16="http://schemas.microsoft.com/office/drawing/2014/main" id="{38922DCA-E660-4E27-87BE-4AEAAAF92552}"/>
              </a:ext>
            </a:extLst>
          </xdr:cNvPr>
          <xdr:cNvCxnSpPr>
            <a:cxnSpLocks/>
            <a:stCxn id="158" idx="1"/>
            <a:endCxn id="91" idx="2"/>
          </xdr:cNvCxnSpPr>
        </xdr:nvCxnSpPr>
        <xdr:spPr>
          <a:xfrm flipH="1" flipV="1">
            <a:off x="12894847" y="2471417"/>
            <a:ext cx="11467" cy="560468"/>
          </a:xfrm>
          <a:prstGeom prst="straightConnector1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3" name="Conector recto de flecha 162">
            <a:extLst>
              <a:ext uri="{FF2B5EF4-FFF2-40B4-BE49-F238E27FC236}">
                <a16:creationId xmlns:a16="http://schemas.microsoft.com/office/drawing/2014/main" id="{D3E73E79-9EFF-4F9B-A830-4E938270500A}"/>
              </a:ext>
            </a:extLst>
          </xdr:cNvPr>
          <xdr:cNvCxnSpPr>
            <a:cxnSpLocks/>
            <a:endCxn id="158" idx="2"/>
          </xdr:cNvCxnSpPr>
        </xdr:nvCxnSpPr>
        <xdr:spPr>
          <a:xfrm flipH="1">
            <a:off x="13038689" y="3208382"/>
            <a:ext cx="432597" cy="2485"/>
          </a:xfrm>
          <a:prstGeom prst="straightConnector1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64" name="Rectángulo 163">
            <a:extLst>
              <a:ext uri="{FF2B5EF4-FFF2-40B4-BE49-F238E27FC236}">
                <a16:creationId xmlns:a16="http://schemas.microsoft.com/office/drawing/2014/main" id="{64068BC8-632F-4537-A7B3-68AB94815AD7}"/>
              </a:ext>
            </a:extLst>
          </xdr:cNvPr>
          <xdr:cNvSpPr/>
        </xdr:nvSpPr>
        <xdr:spPr>
          <a:xfrm>
            <a:off x="3610699" y="5169001"/>
            <a:ext cx="902529" cy="55410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/>
              <a:t>EFB</a:t>
            </a:r>
            <a:r>
              <a:rPr lang="en-US" sz="1100" baseline="0"/>
              <a:t> Steam Explotion</a:t>
            </a:r>
            <a:endParaRPr lang="en-US" sz="1100"/>
          </a:p>
        </xdr:txBody>
      </xdr:sp>
      <xdr:cxnSp macro="">
        <xdr:nvCxnSpPr>
          <xdr:cNvPr id="166" name="Conector: angular 165">
            <a:extLst>
              <a:ext uri="{FF2B5EF4-FFF2-40B4-BE49-F238E27FC236}">
                <a16:creationId xmlns:a16="http://schemas.microsoft.com/office/drawing/2014/main" id="{46AEBF8B-8EFB-4A84-951F-351858B2DEE3}"/>
              </a:ext>
            </a:extLst>
          </xdr:cNvPr>
          <xdr:cNvCxnSpPr>
            <a:endCxn id="164" idx="1"/>
          </xdr:cNvCxnSpPr>
        </xdr:nvCxnSpPr>
        <xdr:spPr>
          <a:xfrm rot="16200000" flipH="1">
            <a:off x="2116902" y="3950524"/>
            <a:ext cx="2600677" cy="386917"/>
          </a:xfrm>
          <a:prstGeom prst="bentConnector2">
            <a:avLst/>
          </a:prstGeom>
          <a:ln w="19050" cap="flat" cmpd="sng" algn="ctr">
            <a:solidFill>
              <a:schemeClr val="accent4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7" name="Conector recto de flecha 166">
            <a:extLst>
              <a:ext uri="{FF2B5EF4-FFF2-40B4-BE49-F238E27FC236}">
                <a16:creationId xmlns:a16="http://schemas.microsoft.com/office/drawing/2014/main" id="{4F909FE1-5ADE-439D-85EC-76102E800D63}"/>
              </a:ext>
            </a:extLst>
          </xdr:cNvPr>
          <xdr:cNvCxnSpPr>
            <a:stCxn id="29" idx="3"/>
            <a:endCxn id="164" idx="3"/>
          </xdr:cNvCxnSpPr>
        </xdr:nvCxnSpPr>
        <xdr:spPr>
          <a:xfrm flipH="1" flipV="1">
            <a:off x="4513228" y="5444321"/>
            <a:ext cx="7070336" cy="214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Conector recto de flecha 167">
            <a:extLst>
              <a:ext uri="{FF2B5EF4-FFF2-40B4-BE49-F238E27FC236}">
                <a16:creationId xmlns:a16="http://schemas.microsoft.com/office/drawing/2014/main" id="{B8F9D8CD-8021-4359-B5B9-111E79B7ABF0}"/>
              </a:ext>
            </a:extLst>
          </xdr:cNvPr>
          <xdr:cNvCxnSpPr>
            <a:cxnSpLocks/>
          </xdr:cNvCxnSpPr>
        </xdr:nvCxnSpPr>
        <xdr:spPr>
          <a:xfrm flipV="1">
            <a:off x="7395970" y="1880001"/>
            <a:ext cx="2952" cy="314249"/>
          </a:xfrm>
          <a:prstGeom prst="straightConnector1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9" name="Conector recto de flecha 168">
            <a:extLst>
              <a:ext uri="{FF2B5EF4-FFF2-40B4-BE49-F238E27FC236}">
                <a16:creationId xmlns:a16="http://schemas.microsoft.com/office/drawing/2014/main" id="{5D1C921A-9D43-4FCD-BFE8-B439B03500EB}"/>
              </a:ext>
            </a:extLst>
          </xdr:cNvPr>
          <xdr:cNvCxnSpPr>
            <a:cxnSpLocks/>
          </xdr:cNvCxnSpPr>
        </xdr:nvCxnSpPr>
        <xdr:spPr>
          <a:xfrm>
            <a:off x="3813464" y="5734916"/>
            <a:ext cx="0" cy="254577"/>
          </a:xfrm>
          <a:prstGeom prst="straightConnector1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70" name="Conector recto de flecha 169">
            <a:extLst>
              <a:ext uri="{FF2B5EF4-FFF2-40B4-BE49-F238E27FC236}">
                <a16:creationId xmlns:a16="http://schemas.microsoft.com/office/drawing/2014/main" id="{A0B1CDBF-F7EB-4B21-B127-2689B9698C1E}"/>
              </a:ext>
            </a:extLst>
          </xdr:cNvPr>
          <xdr:cNvCxnSpPr>
            <a:cxnSpLocks/>
            <a:stCxn id="164" idx="2"/>
            <a:endCxn id="67" idx="0"/>
          </xdr:cNvCxnSpPr>
        </xdr:nvCxnSpPr>
        <xdr:spPr>
          <a:xfrm>
            <a:off x="4061964" y="5723104"/>
            <a:ext cx="5317" cy="170861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71" name="CuadroTexto 94">
                <a:extLst>
                  <a:ext uri="{FF2B5EF4-FFF2-40B4-BE49-F238E27FC236}">
                    <a16:creationId xmlns:a16="http://schemas.microsoft.com/office/drawing/2014/main" id="{53B7FE0E-7A47-4163-8654-D073F60837B8}"/>
                  </a:ext>
                </a:extLst>
              </xdr:cNvPr>
              <xdr:cNvSpPr txBox="1"/>
            </xdr:nvSpPr>
            <xdr:spPr>
              <a:xfrm flipH="1">
                <a:off x="4846016" y="5505480"/>
                <a:ext cx="661854" cy="256227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US" sz="10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sz="10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CO" sz="1000" i="1">
                                  <a:latin typeface="Cambria Math" panose="02040503050406030204" pitchFamily="18" charset="0"/>
                                </a:rPr>
                                <m:t>𝑄</m:t>
                              </m:r>
                            </m:e>
                          </m:acc>
                        </m:e>
                        <m:sub>
                          <m:r>
                            <a:rPr lang="es-CO" sz="1000" b="0" i="1">
                              <a:latin typeface="Cambria Math" panose="02040503050406030204" pitchFamily="18" charset="0"/>
                            </a:rPr>
                            <m:t>𝑝𝑟𝑒</m:t>
                          </m:r>
                          <m:r>
                            <a:rPr lang="es-CO" sz="1000" b="0" i="1">
                              <a:latin typeface="Cambria Math" panose="02040503050406030204" pitchFamily="18" charset="0"/>
                            </a:rPr>
                            <m:t>_</m:t>
                          </m:r>
                          <m:r>
                            <a:rPr lang="es-CO" sz="1000" b="0" i="1">
                              <a:latin typeface="Cambria Math" panose="02040503050406030204" pitchFamily="18" charset="0"/>
                            </a:rPr>
                            <m:t>𝑜𝑢𝑡</m:t>
                          </m:r>
                        </m:sub>
                      </m:sSub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171" name="CuadroTexto 94">
                <a:extLst>
                  <a:ext uri="{FF2B5EF4-FFF2-40B4-BE49-F238E27FC236}">
                    <a16:creationId xmlns:a16="http://schemas.microsoft.com/office/drawing/2014/main" id="{53B7FE0E-7A47-4163-8654-D073F60837B8}"/>
                  </a:ext>
                </a:extLst>
              </xdr:cNvPr>
              <xdr:cNvSpPr txBox="1"/>
            </xdr:nvSpPr>
            <xdr:spPr>
              <a:xfrm flipH="1">
                <a:off x="4846016" y="5505480"/>
                <a:ext cx="661854" cy="256227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i="0">
                    <a:latin typeface="Cambria Math" panose="02040503050406030204" pitchFamily="18" charset="0"/>
                  </a:rPr>
                  <a:t>𝑄</a:t>
                </a:r>
                <a:r>
                  <a:rPr lang="en-US" sz="1000" i="0">
                    <a:latin typeface="Cambria Math" panose="02040503050406030204" pitchFamily="18" charset="0"/>
                  </a:rPr>
                  <a:t> ̇_(</a:t>
                </a:r>
                <a:r>
                  <a:rPr lang="es-CO" sz="1000" b="0" i="0">
                    <a:latin typeface="Cambria Math" panose="02040503050406030204" pitchFamily="18" charset="0"/>
                  </a:rPr>
                  <a:t>𝑝𝑟𝑒_𝑜𝑢𝑡</a:t>
                </a:r>
                <a:r>
                  <a:rPr lang="en-US" sz="1000" b="0" i="0">
                    <a:latin typeface="Cambria Math" panose="02040503050406030204" pitchFamily="18" charset="0"/>
                  </a:rPr>
                  <a:t>)</a:t>
                </a:r>
                <a:endParaRPr lang="en-US" sz="1000"/>
              </a:p>
            </xdr:txBody>
          </xdr:sp>
        </mc:Fallback>
      </mc:AlternateContent>
      <xdr:sp macro="" textlink="">
        <xdr:nvSpPr>
          <xdr:cNvPr id="172" name="Rectángulo 171">
            <a:extLst>
              <a:ext uri="{FF2B5EF4-FFF2-40B4-BE49-F238E27FC236}">
                <a16:creationId xmlns:a16="http://schemas.microsoft.com/office/drawing/2014/main" id="{83576AE5-A189-459C-84FA-7C7ED2B37B0E}"/>
              </a:ext>
            </a:extLst>
          </xdr:cNvPr>
          <xdr:cNvSpPr/>
        </xdr:nvSpPr>
        <xdr:spPr>
          <a:xfrm>
            <a:off x="9133798" y="3441396"/>
            <a:ext cx="902529" cy="554103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CO" sz="1100"/>
              <a:t>KPO </a:t>
            </a:r>
          </a:p>
          <a:p>
            <a:pPr algn="ctr"/>
            <a:r>
              <a:rPr lang="es-CO" sz="1100"/>
              <a:t>Extraction</a:t>
            </a:r>
          </a:p>
        </xdr:txBody>
      </xdr:sp>
      <xdr:cxnSp macro="">
        <xdr:nvCxnSpPr>
          <xdr:cNvPr id="173" name="Conector recto de flecha 172">
            <a:extLst>
              <a:ext uri="{FF2B5EF4-FFF2-40B4-BE49-F238E27FC236}">
                <a16:creationId xmlns:a16="http://schemas.microsoft.com/office/drawing/2014/main" id="{F15905B9-0322-4F95-A8E3-E5C0FAA0D40E}"/>
              </a:ext>
            </a:extLst>
          </xdr:cNvPr>
          <xdr:cNvCxnSpPr>
            <a:cxnSpLocks/>
            <a:stCxn id="7" idx="2"/>
            <a:endCxn id="172" idx="0"/>
          </xdr:cNvCxnSpPr>
        </xdr:nvCxnSpPr>
        <xdr:spPr>
          <a:xfrm>
            <a:off x="9580435" y="1888598"/>
            <a:ext cx="4628" cy="1552798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74" name="Conector recto de flecha 173">
            <a:extLst>
              <a:ext uri="{FF2B5EF4-FFF2-40B4-BE49-F238E27FC236}">
                <a16:creationId xmlns:a16="http://schemas.microsoft.com/office/drawing/2014/main" id="{2BA469B0-6E23-411E-BDFB-ED135073EC01}"/>
              </a:ext>
            </a:extLst>
          </xdr:cNvPr>
          <xdr:cNvCxnSpPr>
            <a:cxnSpLocks/>
            <a:stCxn id="16" idx="3"/>
            <a:endCxn id="172" idx="1"/>
          </xdr:cNvCxnSpPr>
        </xdr:nvCxnSpPr>
        <xdr:spPr>
          <a:xfrm>
            <a:off x="8191941" y="3716716"/>
            <a:ext cx="941857" cy="0"/>
          </a:xfrm>
          <a:prstGeom prst="straightConnector1">
            <a:avLst/>
          </a:prstGeom>
          <a:ln>
            <a:headEnd type="none" w="med" len="med"/>
            <a:tailEnd type="triangle" w="med" len="med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75" name="Conector recto de flecha 174">
            <a:extLst>
              <a:ext uri="{FF2B5EF4-FFF2-40B4-BE49-F238E27FC236}">
                <a16:creationId xmlns:a16="http://schemas.microsoft.com/office/drawing/2014/main" id="{8CE6D050-B19A-439C-9ED0-810F98AA46BB}"/>
              </a:ext>
            </a:extLst>
          </xdr:cNvPr>
          <xdr:cNvCxnSpPr>
            <a:cxnSpLocks/>
          </xdr:cNvCxnSpPr>
        </xdr:nvCxnSpPr>
        <xdr:spPr>
          <a:xfrm flipH="1">
            <a:off x="7707457" y="3995619"/>
            <a:ext cx="1641" cy="416188"/>
          </a:xfrm>
          <a:prstGeom prst="straightConnector1">
            <a:avLst/>
          </a:prstGeom>
          <a:ln w="19050"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76" name="Conector: angular 175">
            <a:extLst>
              <a:ext uri="{FF2B5EF4-FFF2-40B4-BE49-F238E27FC236}">
                <a16:creationId xmlns:a16="http://schemas.microsoft.com/office/drawing/2014/main" id="{B62117D4-DBFD-4ED3-A174-E8FCBB76A964}"/>
              </a:ext>
            </a:extLst>
          </xdr:cNvPr>
          <xdr:cNvCxnSpPr>
            <a:stCxn id="91" idx="3"/>
          </xdr:cNvCxnSpPr>
        </xdr:nvCxnSpPr>
        <xdr:spPr>
          <a:xfrm flipV="1">
            <a:off x="13344211" y="1536123"/>
            <a:ext cx="428939" cy="580036"/>
          </a:xfrm>
          <a:prstGeom prst="bentConnector2">
            <a:avLst/>
          </a:prstGeom>
          <a:ln w="19050" cap="flat" cmpd="sng" algn="ctr">
            <a:solidFill>
              <a:schemeClr val="accent6"/>
            </a:solidFill>
            <a:prstDash val="dash"/>
            <a:round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77" name="CuadroTexto 95">
                <a:extLst>
                  <a:ext uri="{FF2B5EF4-FFF2-40B4-BE49-F238E27FC236}">
                    <a16:creationId xmlns:a16="http://schemas.microsoft.com/office/drawing/2014/main" id="{D648C5DB-90AC-4357-A5CE-18765453F061}"/>
                  </a:ext>
                </a:extLst>
              </xdr:cNvPr>
              <xdr:cNvSpPr txBox="1"/>
            </xdr:nvSpPr>
            <xdr:spPr>
              <a:xfrm flipH="1">
                <a:off x="13773150" y="1577686"/>
                <a:ext cx="638491" cy="257614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CO" sz="1000" b="0" i="1">
                          <a:latin typeface="Cambria Math" panose="02040503050406030204" pitchFamily="18" charset="0"/>
                        </a:rPr>
                        <m:t>𝐶𝑙𝑒𝑎𝑛𝑖𝑛𝑔</m:t>
                      </m:r>
                    </m:oMath>
                  </m:oMathPara>
                </a14:m>
                <a:endParaRPr lang="en-US" sz="1000"/>
              </a:p>
            </xdr:txBody>
          </xdr:sp>
        </mc:Choice>
        <mc:Fallback xmlns="">
          <xdr:sp macro="" textlink="">
            <xdr:nvSpPr>
              <xdr:cNvPr id="177" name="CuadroTexto 95">
                <a:extLst>
                  <a:ext uri="{FF2B5EF4-FFF2-40B4-BE49-F238E27FC236}">
                    <a16:creationId xmlns:a16="http://schemas.microsoft.com/office/drawing/2014/main" id="{D648C5DB-90AC-4357-A5CE-18765453F061}"/>
                  </a:ext>
                </a:extLst>
              </xdr:cNvPr>
              <xdr:cNvSpPr txBox="1"/>
            </xdr:nvSpPr>
            <xdr:spPr>
              <a:xfrm flipH="1">
                <a:off x="13773150" y="1577686"/>
                <a:ext cx="638491" cy="257614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s-CO" sz="1000" b="0" i="0">
                    <a:latin typeface="Cambria Math" panose="02040503050406030204" pitchFamily="18" charset="0"/>
                  </a:rPr>
                  <a:t>𝐶𝑙𝑒𝑎𝑛𝑖𝑛𝑔</a:t>
                </a:r>
                <a:endParaRPr lang="en-US" sz="1000"/>
              </a:p>
            </xdr:txBody>
          </xdr:sp>
        </mc:Fallback>
      </mc:AlternateContent>
    </xdr:grpSp>
    <xdr:clientData/>
  </xdr:twoCellAnchor>
  <xdr:twoCellAnchor editAs="oneCell">
    <xdr:from>
      <xdr:col>44</xdr:col>
      <xdr:colOff>51954</xdr:colOff>
      <xdr:row>74</xdr:row>
      <xdr:rowOff>118753</xdr:rowOff>
    </xdr:from>
    <xdr:to>
      <xdr:col>54</xdr:col>
      <xdr:colOff>1786</xdr:colOff>
      <xdr:row>106</xdr:row>
      <xdr:rowOff>99383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8A16B2FB-4B07-112A-56B2-F00D37E2D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5999" y="11964389"/>
          <a:ext cx="5630196" cy="49682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457199</xdr:colOff>
      <xdr:row>8</xdr:row>
      <xdr:rowOff>76200</xdr:rowOff>
    </xdr:from>
    <xdr:to>
      <xdr:col>21</xdr:col>
      <xdr:colOff>381000</xdr:colOff>
      <xdr:row>32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B3E799-E815-5E66-7223-9D94603A6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129267</xdr:colOff>
      <xdr:row>39</xdr:row>
      <xdr:rowOff>134710</xdr:rowOff>
    </xdr:from>
    <xdr:to>
      <xdr:col>35</xdr:col>
      <xdr:colOff>190500</xdr:colOff>
      <xdr:row>52</xdr:row>
      <xdr:rowOff>54429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963B0B-F9FA-8A58-24CB-5B54E8952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276225</xdr:colOff>
      <xdr:row>40</xdr:row>
      <xdr:rowOff>85725</xdr:rowOff>
    </xdr:from>
    <xdr:to>
      <xdr:col>23</xdr:col>
      <xdr:colOff>291100</xdr:colOff>
      <xdr:row>64</xdr:row>
      <xdr:rowOff>113804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AC8984-AC96-4E24-8FBC-7EAD606F6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23</xdr:col>
      <xdr:colOff>483393</xdr:colOff>
      <xdr:row>33</xdr:row>
      <xdr:rowOff>126205</xdr:rowOff>
    </xdr:from>
    <xdr:ext cx="65" cy="17222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019CF5F-2A70-717B-28A3-6BF96CE0B474}"/>
            </a:ext>
          </a:extLst>
        </xdr:cNvPr>
        <xdr:cNvSpPr txBox="1"/>
      </xdr:nvSpPr>
      <xdr:spPr>
        <a:xfrm>
          <a:off x="20247768" y="6960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42</xdr:col>
      <xdr:colOff>661054</xdr:colOff>
      <xdr:row>32</xdr:row>
      <xdr:rowOff>84586</xdr:rowOff>
    </xdr:from>
    <xdr:to>
      <xdr:col>49</xdr:col>
      <xdr:colOff>399117</xdr:colOff>
      <xdr:row>48</xdr:row>
      <xdr:rowOff>166998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01E0C0D-25FC-9F1A-2B99-70C8F62AE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0</xdr:colOff>
      <xdr:row>33</xdr:row>
      <xdr:rowOff>0</xdr:rowOff>
    </xdr:from>
    <xdr:to>
      <xdr:col>56</xdr:col>
      <xdr:colOff>418420</xdr:colOff>
      <xdr:row>48</xdr:row>
      <xdr:rowOff>232091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9EC35EF-B2F7-4340-8B91-E2A567FA1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66</xdr:row>
      <xdr:rowOff>0</xdr:rowOff>
    </xdr:from>
    <xdr:to>
      <xdr:col>23</xdr:col>
      <xdr:colOff>14875</xdr:colOff>
      <xdr:row>96</xdr:row>
      <xdr:rowOff>114670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D8024BA-3239-44F3-B644-E1194E3FB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485775</xdr:colOff>
      <xdr:row>17</xdr:row>
      <xdr:rowOff>133350</xdr:rowOff>
    </xdr:from>
    <xdr:to>
      <xdr:col>18</xdr:col>
      <xdr:colOff>378860</xdr:colOff>
      <xdr:row>20</xdr:row>
      <xdr:rowOff>130394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E6CE66-CE37-47DB-843E-B3EEAC6A4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3038475"/>
          <a:ext cx="3322085" cy="463769"/>
        </a:xfrm>
        <a:prstGeom prst="rect">
          <a:avLst/>
        </a:prstGeom>
      </xdr:spPr>
    </xdr:pic>
    <xdr:clientData/>
  </xdr:twoCellAnchor>
  <xdr:twoCellAnchor editAs="oneCell">
    <xdr:from>
      <xdr:col>13</xdr:col>
      <xdr:colOff>752475</xdr:colOff>
      <xdr:row>2</xdr:row>
      <xdr:rowOff>28575</xdr:rowOff>
    </xdr:from>
    <xdr:to>
      <xdr:col>25</xdr:col>
      <xdr:colOff>566832</xdr:colOff>
      <xdr:row>17</xdr:row>
      <xdr:rowOff>4155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2DD583-A7EC-49F2-8812-7FAB0D8EA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58475" y="333375"/>
          <a:ext cx="8958357" cy="2413980"/>
        </a:xfrm>
        <a:prstGeom prst="rect">
          <a:avLst/>
        </a:prstGeom>
      </xdr:spPr>
    </xdr:pic>
    <xdr:clientData/>
  </xdr:twoCellAnchor>
  <xdr:twoCellAnchor editAs="oneCell">
    <xdr:from>
      <xdr:col>9</xdr:col>
      <xdr:colOff>375957</xdr:colOff>
      <xdr:row>24</xdr:row>
      <xdr:rowOff>64434</xdr:rowOff>
    </xdr:from>
    <xdr:to>
      <xdr:col>16</xdr:col>
      <xdr:colOff>404532</xdr:colOff>
      <xdr:row>37</xdr:row>
      <xdr:rowOff>113804</xdr:rowOff>
    </xdr:to>
    <xdr:pic>
      <xdr:nvPicPr>
        <xdr:cNvPr id="4" name="Imagen 3" descr="Basic composition of FFB">
          <a:extLst>
            <a:ext uri="{FF2B5EF4-FFF2-40B4-BE49-F238E27FC236}">
              <a16:creationId xmlns:a16="http://schemas.microsoft.com/office/drawing/2014/main" id="{2732335C-96DD-371F-5179-D525EAD43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7986" y="4042522"/>
          <a:ext cx="4813487" cy="239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1131154</xdr:colOff>
      <xdr:row>32</xdr:row>
      <xdr:rowOff>156563</xdr:rowOff>
    </xdr:from>
    <xdr:to>
      <xdr:col>14</xdr:col>
      <xdr:colOff>436148</xdr:colOff>
      <xdr:row>46</xdr:row>
      <xdr:rowOff>134845</xdr:rowOff>
    </xdr:to>
    <xdr:pic>
      <xdr:nvPicPr>
        <xdr:cNvPr id="2" name="Imagen 1" descr="Basic composition of FFB">
          <a:extLst>
            <a:ext uri="{FF2B5EF4-FFF2-40B4-BE49-F238E27FC236}">
              <a16:creationId xmlns:a16="http://schemas.microsoft.com/office/drawing/2014/main" id="{28012A5E-4C13-45F2-9DD0-01A4BE584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7830" y="5647445"/>
          <a:ext cx="4807083" cy="2342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209550</xdr:colOff>
      <xdr:row>164</xdr:row>
      <xdr:rowOff>80682</xdr:rowOff>
    </xdr:from>
    <xdr:ext cx="65" cy="17222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50A6C24-6BC3-F54D-0F67-C217769417AE}"/>
            </a:ext>
          </a:extLst>
        </xdr:cNvPr>
        <xdr:cNvSpPr txBox="1"/>
      </xdr:nvSpPr>
      <xdr:spPr>
        <a:xfrm>
          <a:off x="6944285" y="210244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9</xdr:col>
      <xdr:colOff>836839</xdr:colOff>
      <xdr:row>237</xdr:row>
      <xdr:rowOff>77560</xdr:rowOff>
    </xdr:from>
    <xdr:to>
      <xdr:col>13</xdr:col>
      <xdr:colOff>591910</xdr:colOff>
      <xdr:row>254</xdr:row>
      <xdr:rowOff>44903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4E2D8FB-6577-AFDA-CEC5-B3949B7A1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285749</xdr:colOff>
      <xdr:row>11</xdr:row>
      <xdr:rowOff>390525</xdr:rowOff>
    </xdr:from>
    <xdr:to>
      <xdr:col>36</xdr:col>
      <xdr:colOff>68035</xdr:colOff>
      <xdr:row>28</xdr:row>
      <xdr:rowOff>108857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7AF7CB-5CD4-8AC4-65E4-D803C334D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519111</xdr:colOff>
      <xdr:row>42</xdr:row>
      <xdr:rowOff>142874</xdr:rowOff>
    </xdr:from>
    <xdr:to>
      <xdr:col>18</xdr:col>
      <xdr:colOff>85724</xdr:colOff>
      <xdr:row>65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EE6256-C6E7-4CBB-A3A4-4D0CE4578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409573</xdr:colOff>
      <xdr:row>32</xdr:row>
      <xdr:rowOff>76199</xdr:rowOff>
    </xdr:from>
    <xdr:to>
      <xdr:col>27</xdr:col>
      <xdr:colOff>204787</xdr:colOff>
      <xdr:row>53</xdr:row>
      <xdr:rowOff>57149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4641BF6-14A1-5EA2-7101-575B6D410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versidaddelacosta-my.sharepoint.com/personal/jbarrera10_cuc_edu_co/Documents/Articulo_I/Archivos/PotEner_Palma.xlsm" TargetMode="External"/><Relationship Id="rId1" Type="http://schemas.openxmlformats.org/officeDocument/2006/relationships/externalLinkPath" Target="https://universidaddelacosta-my.sharepoint.com/personal/jbarrera10_cuc_edu_co/Documents/Articulo_I/Archivos/PotEner_Pal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tencial Nacional "/>
      <sheetName val="Biomass_Propierties"/>
      <sheetName val="Datos"/>
      <sheetName val="Variables"/>
      <sheetName val="Blox and plot"/>
      <sheetName val="Cal_Potencial"/>
      <sheetName val="Cenizas"/>
      <sheetName val="LíneaBase"/>
      <sheetName val="Linea Base"/>
      <sheetName val="Sankey"/>
      <sheetName val="Scenario1"/>
      <sheetName val="Scenario2"/>
      <sheetName val="Scenario3"/>
      <sheetName val="Scenario4"/>
      <sheetName val="Resumen"/>
      <sheetName val="Hoja1"/>
      <sheetName val="Escenarios"/>
      <sheetName val="CAPEX - Biogas"/>
      <sheetName val="Background data"/>
      <sheetName val="Anex_Res"/>
      <sheetName val="Emisiones"/>
      <sheetName val="Social"/>
      <sheetName val="Radar"/>
    </sheetNames>
    <sheetDataSet>
      <sheetData sheetId="0"/>
      <sheetData sheetId="1">
        <row r="15">
          <cell r="L15">
            <v>6430.4380080000001</v>
          </cell>
          <cell r="N15">
            <v>12020.611011500001</v>
          </cell>
          <cell r="O15">
            <v>18230.101602499999</v>
          </cell>
        </row>
      </sheetData>
      <sheetData sheetId="2"/>
      <sheetData sheetId="3">
        <row r="9">
          <cell r="C9">
            <v>972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AI3" t="str">
            <v>Potencial POME (TJ)</v>
          </cell>
        </row>
        <row r="4">
          <cell r="AI4">
            <v>135.05774387358338</v>
          </cell>
        </row>
        <row r="5">
          <cell r="AI5">
            <v>152.50698844603056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an Camilo Barrera Hernandez" id="{DD76C24C-7300-40FC-BB10-CA0321A46725}" userId="Juan Camilo Barrera Hernand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9BC47D-2BC1-456A-A184-2B754BA6AE91}" name="Tabla4" displayName="Tabla4" ref="BH13:BP47" totalsRowShown="0" headerRowDxfId="184" tableBorderDxfId="183">
  <autoFilter ref="BH13:BP47" xr:uid="{3B9BC47D-2BC1-456A-A184-2B754BA6AE91}"/>
  <tableColumns count="9">
    <tableColumn id="1" xr3:uid="{8D959CA9-0E41-4BD4-AAEF-524154135335}" name="Estado" dataDxfId="182"/>
    <tableColumn id="2" xr3:uid="{935CDE17-9BCD-42FE-AD76-8B0E5158286E}" name="Description" dataDxfId="181"/>
    <tableColumn id="3" xr3:uid="{DAD9EC95-507C-4373-8A5E-9664B5818828}" name="Fase/tipo" dataDxfId="180"/>
    <tableColumn id="14" xr3:uid="{0092FBDC-0688-4700-A7C4-BB81592732C4}" name="Temperatura" dataDxfId="179"/>
    <tableColumn id="6" xr3:uid="{7A3915D6-2A45-4E5F-8AF4-03ADADC0DE3C}" name="Presiòn " dataDxfId="178"/>
    <tableColumn id="7" xr3:uid="{F974D3B3-970E-4C04-A0E1-3ECA7C17BB4B}" name="Enthalpy _x000a_(kJ/kg)" dataDxfId="177"/>
    <tableColumn id="13" xr3:uid="{D8E9847C-B87C-414E-A252-1063B2E786F9}" name="Flujo Masico2" dataDxfId="176"/>
    <tableColumn id="8" xr3:uid="{2F545796-E747-4DAF-B511-37A2ABCE725C}" name="Flujo energètico (kW)" dataDxfId="175"/>
    <tableColumn id="15" xr3:uid="{7188F6A8-6956-4306-9B8D-EB7176EACD49}" name="Columna1" dataDxfId="17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D19AEC-F4CA-4FE7-A916-161B68977A06}" name="Tabla3" displayName="Tabla3" ref="AP4:AY6" totalsRowCount="1" headerRowDxfId="173" headerRowBorderDxfId="172" tableBorderDxfId="171" totalsRowBorderDxfId="170">
  <autoFilter ref="AP4:AY5" xr:uid="{E2D19AEC-F4CA-4FE7-A916-161B68977A06}"/>
  <tableColumns count="10">
    <tableColumn id="1" xr3:uid="{60147E1B-B8D0-4E67-98CA-2227EA446B22}" name="Month" dataDxfId="169" totalsRowDxfId="168"/>
    <tableColumn id="2" xr3:uid="{005C35B6-9744-4676-85E3-CE91FB7299F7}" name="FFB feed (tonne)" dataDxfId="167" totalsRowDxfId="166"/>
    <tableColumn id="3" xr3:uid="{51745198-975C-4920-83EC-85C0A00A652D}" name="Operating hours (h)" dataDxfId="165" totalsRowDxfId="164">
      <calculatedColumnFormula>+AQ5/30</calculatedColumnFormula>
    </tableColumn>
    <tableColumn id="5" xr3:uid="{8A02C953-2916-4FD0-BF65-ABA3720F0D9A}" name="EFB (kg/h)" dataDxfId="163" totalsRowDxfId="162">
      <calculatedColumnFormula>+Tabla3[[#This Row],[FFB feed (tonne)]]*210/Tabla3[[#This Row],[Operating hours (h)]]</calculatedColumnFormula>
    </tableColumn>
    <tableColumn id="6" xr3:uid="{14C0A2FE-1896-4BF0-910C-FBF1C28B9205}" name="MF (kg/h)" dataDxfId="161" totalsRowDxfId="160">
      <calculatedColumnFormula>+Tabla3[[#This Row],[FFB feed (tonne)]]*131/Tabla3[[#This Row],[Operating hours (h)]]</calculatedColumnFormula>
    </tableColumn>
    <tableColumn id="7" xr3:uid="{8CCF7600-B8DF-4270-892F-428561898C20}" name="PKS (kg/h)" dataDxfId="159" totalsRowDxfId="158">
      <calculatedColumnFormula>+Tabla3[[#This Row],[FFB feed (tonne)]]*61/Tabla3[[#This Row],[Operating hours (h)]]</calculatedColumnFormula>
    </tableColumn>
    <tableColumn id="4" xr3:uid="{35670565-2C20-4B56-B67B-8CB775AB3040}" name="POME generation (m3)" dataDxfId="157" totalsRowDxfId="156">
      <calculatedColumnFormula>0.9*AQ5/Tabla3[[#This Row],[Operating hours (h)]]</calculatedColumnFormula>
    </tableColumn>
    <tableColumn id="10" xr3:uid="{C87B5DC7-3F14-4CBA-8889-887EAD9C47DC}" name="Q1 (kWh/kg)" totalsRowFunction="custom" dataDxfId="155" totalsRowDxfId="154">
      <calculatedColumnFormula>((+Tabla3[[#This Row],[EFB (kg/h)]]*0.65*$AU$1*($AQ$2-$AQ$1))+(Tabla3[[#This Row],[EFB (kg/h)]]*(1-0.65)*$AU$2*($AQ$2-$AQ$1))/3600)</calculatedColumnFormula>
      <totalsRowFormula array="1">+Tabla3[Q1 (kWh/kg)]/6.3</totalsRowFormula>
    </tableColumn>
    <tableColumn id="11" xr3:uid="{D816A4F1-C386-4559-9531-1C4F7CA56FA9}" name="Q2" totalsRowFunction="custom" dataDxfId="153" totalsRowDxfId="152">
      <calculatedColumnFormula>+Tabla3[[#This Row],[EFB (kg/h)]]*0.65*(AR2-AR1)/3600</calculatedColumnFormula>
      <totalsRowFormula array="1">+Tabla3[Q2]/6.3</totalsRowFormula>
    </tableColumn>
    <tableColumn id="12" xr3:uid="{E2A051A0-D9D8-40A0-BF50-4C4B70A8E4EE}" name="Qn" dataDxfId="151" totalsRowDxfId="1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A3390-6A19-48BF-B85F-AA7427FA945A}" name="LineaBASE" displayName="LineaBASE" ref="AU1:BU6" totalsRowCount="1" headerRowDxfId="149" dataDxfId="148" totalsRowDxfId="147">
  <autoFilter ref="AU1:BU5" xr:uid="{6ADA3390-6A19-48BF-B85F-AA7427FA945A}"/>
  <tableColumns count="27">
    <tableColumn id="1" xr3:uid="{0D330C39-FEA1-4084-B88B-00625EB837BD}" name="Producción media _x000a_Tusa (t/h)" totalsRowLabel="Total" dataDxfId="146" totalsRowDxfId="145">
      <calculatedColumnFormula>#REF!/#REF!</calculatedColumnFormula>
    </tableColumn>
    <tableColumn id="2" xr3:uid="{5C849A87-324E-4420-8608-FB51160BA41F}" name="EFB (TJ)" totalsRowFunction="sum" dataDxfId="144" totalsRowDxfId="143">
      <calculatedColumnFormula>(#REF!*1000*[1]Biomass_Propierties!$L$15)/1000000000</calculatedColumnFormula>
    </tableColumn>
    <tableColumn id="15" xr3:uid="{F8FB11BC-5C6F-42D1-8615-A7C3153E096D}" name="Potencial especifico (tusa)_x000a_(MJ/ t RFF)" totalsRowFunction="stdDev" dataDxfId="142" totalsRowDxfId="141">
      <calculatedColumnFormula>+LineaBASE[[#This Row],[EFB (TJ)]]*1000000/Resumen[[#This Row],[Fruta procesada]]</calculatedColumnFormula>
    </tableColumn>
    <tableColumn id="3" xr3:uid="{B964C5CD-FC04-412C-B008-A2BA556D493B}" name="Potencial tusa (MW)" totalsRowFunction="sum" dataDxfId="140" totalsRowDxfId="139">
      <calculatedColumnFormula>+LineaBASE[[#This Row],[EFB (TJ)]]*1000000/(Resumen[[#This Row],[Horas netas de operación al año]]*3600)</calculatedColumnFormula>
    </tableColumn>
    <tableColumn id="4" xr3:uid="{E50E07B0-FFC0-4717-B624-00BB7CEEA3F9}" name="Producción media fibra (t/h)" dataDxfId="138" totalsRowDxfId="137">
      <calculatedColumnFormula>#REF!/#REF!</calculatedColumnFormula>
    </tableColumn>
    <tableColumn id="5" xr3:uid="{D5BE2E13-8E87-45AC-BACC-FB8EBB2B2A20}" name="MF (TJ)" totalsRowFunction="sum" dataDxfId="136" totalsRowDxfId="135">
      <calculatedColumnFormula>#REF!*1000*[1]Biomass_Propierties!$N$15/1000000000</calculatedColumnFormula>
    </tableColumn>
    <tableColumn id="7" xr3:uid="{5C1EE4B8-3B2F-4679-8CE6-7D0F12EA0676}" name="Energía fibra en caldera (TJ)" totalsRowFunction="sum" dataDxfId="134" totalsRowDxfId="133">
      <calculatedColumnFormula>#REF!*1000*[1]Biomass_Propierties!$N$15/1000000000</calculatedColumnFormula>
    </tableColumn>
    <tableColumn id="23" xr3:uid="{FC9C214C-DC91-4407-800C-F90CB35BCDE2}" name="total Fibra (MW)" totalsRowFunction="sum" dataDxfId="132" totalsRowDxfId="131" dataCellStyle="Millares">
      <calculatedColumnFormula>+LineaBASE[[#This Row],[MF (TJ)]]*1000000/(Resumen[[#This Row],[Horas netas de operación al año]]*3600)</calculatedColumnFormula>
    </tableColumn>
    <tableColumn id="21" xr3:uid="{A856531E-7C4C-4BB8-913E-7AE54899DD40}" name="Fibra Caldera (MW)" totalsRowFunction="sum" dataDxfId="130" totalsRowDxfId="129" dataCellStyle="Millares">
      <calculatedColumnFormula>+LineaBASE[[#This Row],[Energía fibra en caldera (TJ)]]*1000000/(Resumen[[#This Row],[Horas netas de operación al año]]*3600)</calculatedColumnFormula>
    </tableColumn>
    <tableColumn id="27" xr3:uid="{7E5BE1D5-1B5E-44FD-A8F8-7286FE44ABBF}" name="Fibra cogeneración (MW)" totalsRowFunction="sum" dataDxfId="128" totalsRowDxfId="127" dataCellStyle="Millares">
      <calculatedColumnFormula>IF(Resumen[[#This Row],[Biomass]]=0,0,LineaBASE[[#This Row],[Fibra Caldera (MW)]])</calculatedColumnFormula>
    </tableColumn>
    <tableColumn id="10" xr3:uid="{010F6B68-5210-4256-B315-551BB2651D6B}" name="Potencial especifico (fibra)_x000a_(MJ/ t RFF)" totalsRowFunction="stdDev" dataDxfId="126" totalsRowDxfId="125">
      <calculatedColumnFormula>(+LineaBASE[[#This Row],[MF (TJ)]]*1000000)/Resumen[[#This Row],[Fruta procesada]]</calculatedColumnFormula>
    </tableColumn>
    <tableColumn id="8" xr3:uid="{ADD6DF44-F122-4043-8714-39614EBF9A1E}" name="Producción media cuesco (t/h)" dataDxfId="124" totalsRowDxfId="123">
      <calculatedColumnFormula>#REF!/#REF!</calculatedColumnFormula>
    </tableColumn>
    <tableColumn id="9" xr3:uid="{43E4B115-B4D5-4276-AD84-8F4413D0E556}" name="PKS (TJ)" totalsRowFunction="sum" dataDxfId="122" totalsRowDxfId="121">
      <calculatedColumnFormula>#REF!*1000*[1]Biomass_Propierties!$O$15/1000000000</calculatedColumnFormula>
    </tableColumn>
    <tableColumn id="14" xr3:uid="{C3A20621-DD43-4A10-AE7F-D6E1F61DC924}" name="Potencial especifico (cuesco)_x000a_(MJ/ t RFF)" totalsRowFunction="stdDev" dataDxfId="120" totalsRowDxfId="119">
      <calculatedColumnFormula>+LineaBASE[[#This Row],[PKS (TJ)]]*1000000/Resumen[[#This Row],[Fruta procesada]]</calculatedColumnFormula>
    </tableColumn>
    <tableColumn id="11" xr3:uid="{4428B70A-CDC1-4E17-82EB-C0A893FCEC14}" name="Energía cuesco en caldera (TJ)" totalsRowFunction="sum" dataDxfId="118" totalsRowDxfId="117">
      <calculatedColumnFormula>#REF!*1000*[1]Biomass_Propierties!$O$15/1000000000</calculatedColumnFormula>
    </tableColumn>
    <tableColumn id="26" xr3:uid="{46A38BF0-9FF9-4632-A7FB-445AEAD31661}" name="Total PKS (MW)" totalsRowFunction="sum" dataDxfId="116" totalsRowDxfId="115" dataCellStyle="Millares">
      <calculatedColumnFormula>+LineaBASE[[#This Row],[PKS (TJ)]]*1000000/(Resumen[[#This Row],[Horas netas de operación al año]]*3600)</calculatedColumnFormula>
    </tableColumn>
    <tableColumn id="28" xr3:uid="{D8DFC158-8364-4B66-AEC8-7EA99F1685C1}" name="PKS Cogen" totalsRowFunction="sum" dataDxfId="114" totalsRowDxfId="113" dataCellStyle="Millares">
      <calculatedColumnFormula>IF(LineaBASE[[#This Row],[Fibra cogeneración (MW)]]=0,0,LineaBASE[[#This Row],[PKS caldera (MW)]])</calculatedColumnFormula>
    </tableColumn>
    <tableColumn id="22" xr3:uid="{CB1CE1B6-6857-421A-8A95-6B3FB46C9D51}" name="PKS caldera (MW)" totalsRowFunction="sum" dataDxfId="112" totalsRowDxfId="111" dataCellStyle="Millares">
      <calculatedColumnFormula>+LineaBASE[[#This Row],[Energía cuesco en caldera (TJ)]]*1000000/(Resumen[[#This Row],[Horas netas de operación al año]]*3600)</calculatedColumnFormula>
    </tableColumn>
    <tableColumn id="12" xr3:uid="{B211853A-49B7-4A84-871B-DF5B9C401091}" name="Potencial energético biomasa solida (TJ)" totalsRowFunction="sum" dataDxfId="110" totalsRowDxfId="109">
      <calculatedColumnFormula>+LineaBASE[[#This Row],[EFB (TJ)]]+LineaBASE[[#This Row],[MF (TJ)]]+LineaBASE[[#This Row],[PKS (TJ)]]</calculatedColumnFormula>
    </tableColumn>
    <tableColumn id="13" xr3:uid="{F132B186-F749-43C7-86AE-E3EB1318FD4D}" name="Potencial energético (MW)" totalsRowFunction="sum" dataDxfId="108" totalsRowDxfId="107">
      <calculatedColumnFormula>+LineaBASE[[#This Row],[Total PKS (MW)]]+LineaBASE[[#This Row],[total Fibra (MW)]]+LineaBASE[[#This Row],[Potencial tusa (MW)]]</calculatedColumnFormula>
    </tableColumn>
    <tableColumn id="6" xr3:uid="{ED797262-899A-403B-99CC-A1018A5E0BFA}" name="POME (TJ)" totalsRowFunction="sum" dataDxfId="106" totalsRowDxfId="105">
      <calculatedColumnFormula>+[1]Scenario2!AI2</calculatedColumnFormula>
    </tableColumn>
    <tableColumn id="18" xr3:uid="{AA7D18F3-AE95-487F-9CB0-622CB67694D7}" name="POME (MW)" totalsRowFunction="sum" dataDxfId="104" totalsRowDxfId="103" dataCellStyle="Millares">
      <calculatedColumnFormula>LineaBASE[[#This Row],[POME (TJ)]]*1000000/(Resumen[[#This Row],[Horas netas de operación al año]]*3600)</calculatedColumnFormula>
    </tableColumn>
    <tableColumn id="29" xr3:uid="{1B9404E1-5113-465F-9953-A9CE445D6DA4}" name="Columna1" totalsRowFunction="sum" dataDxfId="102" totalsRowDxfId="101" dataCellStyle="Millares">
      <calculatedColumnFormula>IF(Resumen[[#This Row],[Biogas]]=0,0,LineaBASE[[#This Row],[POME (MW)]])</calculatedColumnFormula>
    </tableColumn>
    <tableColumn id="19" xr3:uid="{3F1DEB85-6AB9-4B90-B09C-1DDFEA807466}" name="Potencial especifico (POME)_x000a_(MJ/ t RFF)22" totalsRowFunction="stdDev" dataDxfId="100" totalsRowDxfId="99">
      <calculatedColumnFormula>LineaBASE[[#This Row],[POME (TJ)]]*1000000/Resumen[[#This Row],[Fruta procesada]]</calculatedColumnFormula>
    </tableColumn>
    <tableColumn id="16" xr3:uid="{107E35FC-54E3-433F-9A79-4A81EE8DCF24}" name="Boiler biomass energy _x000a_(MJ/t RFF)" dataDxfId="98" totalsRowDxfId="97">
      <calculatedColumnFormula>(LineaBASE[[#This Row],[Energía cuesco en caldera (TJ)]]+LineaBASE[[#This Row],[Energía fibra en caldera (TJ)]])*1000000/#REF!</calculatedColumnFormula>
    </tableColumn>
    <tableColumn id="17" xr3:uid="{37D98AED-0FBB-4EF8-B5F2-142324887EF6}" name="Biomass energy potential" totalsRowFunction="average" dataDxfId="96" totalsRowDxfId="95">
      <calculatedColumnFormula>+LineaBASE[[#This Row],[Potencial especifico (POME)
(MJ/ t RFF)22]]+LineaBASE[[#This Row],[Potencial especifico (cuesco)
(MJ/ t RFF)]]+LineaBASE[[#This Row],[Potencial especifico (fibra)
(MJ/ t RFF)]]+LineaBASE[[#This Row],[Potencial especifico (tusa)
(MJ/ t RFF)]]</calculatedColumnFormula>
    </tableColumn>
    <tableColumn id="20" xr3:uid="{268F3E70-A19B-4CE9-9680-019CD3C16D97}" name="Boiler biomass energy _x000a_(MW)" dataDxfId="94" totalsRowDxfId="93">
      <calculatedColumnFormula>LineaBASE[[#This Row],[Boiler biomass energy 
(MJ/t RFF)]]*Resumen[[#This Row],[Fruta procesada]]/(Resumen[[#This Row],[Horas netas de operación al año]]*3600)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844B55-D966-4BC6-B99C-566EDE1E0BF8}" name="Resumen" displayName="Resumen" ref="A1:AS5" totalsRowCount="1" headerRowDxfId="92" dataDxfId="91" totalsRowDxfId="90">
  <autoFilter ref="A1:AS4" xr:uid="{22844B55-D966-4BC6-B99C-566EDE1E0BF8}"/>
  <tableColumns count="45">
    <tableColumn id="53" xr3:uid="{6994101C-F16E-4624-AE2C-2E66BCF4E8CC}" name="Zona" dataDxfId="89" totalsRowDxfId="88"/>
    <tableColumn id="52" xr3:uid="{89E5F7B7-A1CE-4416-BDA7-7417C1299D5C}" name="POM" dataDxfId="87" totalsRowDxfId="86"/>
    <tableColumn id="2" xr3:uid="{0FF2B99D-338E-4F36-9961-1A9B1CAD931A}" name="Horas netas de operación al año" totalsRowFunction="stdDev" dataDxfId="85" totalsRowDxfId="84"/>
    <tableColumn id="1" xr3:uid="{C845276C-0385-4C67-B535-8DBFDF757A14}" name="Columna1" totalsRowFunction="average" dataDxfId="83" totalsRowDxfId="82">
      <calculatedColumnFormula>Resumen[[#This Row],[Horas netas de operación al año]]/8760</calculatedColumnFormula>
    </tableColumn>
    <tableColumn id="3" xr3:uid="{AAD29032-706F-4E9F-829A-2B9E041ACA35}" name="Capacidad de la Planta _x000a_( t RFF/h)" totalsRowFunction="average" dataDxfId="81" totalsRowDxfId="80">
      <calculatedColumnFormula>F2/C2</calculatedColumnFormula>
    </tableColumn>
    <tableColumn id="5" xr3:uid="{49E9FBFF-9BD5-4EB8-965B-26B326A9854E}" name="Fruta procesada" totalsRowFunction="sum" dataDxfId="79" totalsRowDxfId="78"/>
    <tableColumn id="11" xr3:uid="{A377093F-9C90-42C8-B8D4-68EAA42DA58B}" name="Energía electrica consumida" dataDxfId="77" totalsRowDxfId="76"/>
    <tableColumn id="6" xr3:uid="{71A8F71C-0F6D-4735-81A4-2FDA3F9CD72C}" name="Columna2" totalsRowFunction="average" dataDxfId="75" totalsRowDxfId="74">
      <calculatedColumnFormula>Resumen[[#This Row],[Energía electrica consumida]]/Resumen[[#This Row],[Fruta procesada]]</calculatedColumnFormula>
    </tableColumn>
    <tableColumn id="12" xr3:uid="{3AF469F8-BA17-42AC-8C90-6C24FAFCB929}" name="Energía eléctica consumida" dataDxfId="73" totalsRowDxfId="72">
      <calculatedColumnFormula>G2/1000</calculatedColumnFormula>
    </tableColumn>
    <tableColumn id="15" xr3:uid="{AC87B20D-4599-40DD-8140-EC636D3A2331}" name="Volumen de agua consumida en caldera" dataDxfId="71" totalsRowDxfId="70"/>
    <tableColumn id="16" xr3:uid="{45F5798E-A255-4F88-B4E5-8A770B33D73F}" name="Cantidad de agua en caldera (kg)" dataDxfId="69" totalsRowDxfId="68">
      <calculatedColumnFormula>J2*[1]Variables!$C$9</calculatedColumnFormula>
    </tableColumn>
    <tableColumn id="7" xr3:uid="{26AEB7A6-39F9-4CC8-B99E-CBF60475D455}" name="Vapor especifico (kg/t rFF)" totalsRowFunction="stdDev" dataDxfId="67" totalsRowDxfId="66">
      <calculatedColumnFormula>Resumen[[#This Row],[Cantidad de agua en caldera (kg)]]/Resumen[[#This Row],[Fruta procesada]]</calculatedColumnFormula>
    </tableColumn>
    <tableColumn id="4" xr3:uid="{45BCCD73-04BA-4269-9409-E0D569383C27}" name="Consumo de vapor proceso (kG/h)" totalsRowFunction="average" dataDxfId="65" totalsRowDxfId="64">
      <calculatedColumnFormula>Resumen[[#This Row],[Cantidad de agua en caldera (kg)]]/Resumen[[#This Row],[Horas netas de operación al año]]</calculatedColumnFormula>
    </tableColumn>
    <tableColumn id="19" xr3:uid="{8429EC32-1C0A-47E9-9AD9-BCDBE3C1CE97}" name="Tusa entera generada" dataDxfId="63" totalsRowDxfId="62"/>
    <tableColumn id="20" xr3:uid="{C0E5ADA9-2012-4992-9A35-DFB8750091B8}" name="Tusa prensada generada" dataDxfId="61" totalsRowDxfId="60"/>
    <tableColumn id="21" xr3:uid="{D4857D17-4BE1-4C93-AC65-1471DADCFF49}" name="Cantidad Tusa Entera (Global)" dataDxfId="59" totalsRowDxfId="58"/>
    <tableColumn id="22" xr3:uid="{9BCC2A40-B4D8-4C0B-8D9D-7FD058E68052}" name="Tusa por RFF" totalsRowFunction="average" dataDxfId="57" totalsRowDxfId="56">
      <calculatedColumnFormula>P2/F2*1000</calculatedColumnFormula>
    </tableColumn>
    <tableColumn id="23" xr3:uid="{647F77EB-FDBA-4CD9-922A-974C68D30B46}" name="Ratio Tusa:RFF" totalsRowFunction="stdDev" dataDxfId="55" totalsRowDxfId="54">
      <calculatedColumnFormula>P2/F2</calculatedColumnFormula>
    </tableColumn>
    <tableColumn id="24" xr3:uid="{B6F8CD00-145C-4072-8F0F-44D179E32FCC}" name="Tusa a campo" dataDxfId="53" totalsRowDxfId="52"/>
    <tableColumn id="25" xr3:uid="{9523CE54-197C-4715-BBCA-5EEBE33698E7}" name="Fibra generada" dataDxfId="51" totalsRowDxfId="50"/>
    <tableColumn id="26" xr3:uid="{4BF34018-358D-4CA2-BED4-6E615648D408}" name="Ratio Fibra:RFF" dataDxfId="49" totalsRowDxfId="48">
      <calculatedColumnFormula>T2/F2</calculatedColumnFormula>
    </tableColumn>
    <tableColumn id="27" xr3:uid="{E7182C10-F706-4214-ABC0-402199841ED1}" name="Fibra por RFF" totalsRowFunction="average" dataDxfId="47" totalsRowDxfId="46">
      <calculatedColumnFormula>T2*1000/F2</calculatedColumnFormula>
    </tableColumn>
    <tableColumn id="28" xr3:uid="{4B4EA8F9-BBB6-4CB9-84B1-6E9AAE64C478}" name="Fibra a Caldera" dataDxfId="45" totalsRowDxfId="44"/>
    <tableColumn id="29" xr3:uid="{5D05B07F-EF0D-4289-A355-853BF11CF6B6}" name="Relación uso fibra en caldera" totalsRowFunction="average" dataDxfId="43" totalsRowDxfId="42">
      <calculatedColumnFormula>W2/T2</calculatedColumnFormula>
    </tableColumn>
    <tableColumn id="30" xr3:uid="{B3CB5447-C52F-46ED-B30C-798B6CB8B490}" name="Cusco generado" dataDxfId="41" totalsRowDxfId="40"/>
    <tableColumn id="31" xr3:uid="{0FA4F059-0279-42B0-A043-D354A85C6181}" name="Ratio Cuesco:RFF" dataDxfId="39" totalsRowDxfId="38">
      <calculatedColumnFormula>Y2/F2</calculatedColumnFormula>
    </tableColumn>
    <tableColumn id="32" xr3:uid="{A7C48C68-3D9E-48ED-9FF8-693CA191823B}" name="Cuesco por RFF" totalsRowFunction="average" dataDxfId="37" totalsRowDxfId="36">
      <calculatedColumnFormula>AB2*1000/F2</calculatedColumnFormula>
    </tableColumn>
    <tableColumn id="33" xr3:uid="{09E94AF8-855E-4F20-9D63-02DE7C03B8DC}" name="Cuesco a Caldera" dataDxfId="35" totalsRowDxfId="34"/>
    <tableColumn id="34" xr3:uid="{EDF1149C-E69E-4727-8C81-A82AC6E4E103}" name="Relación uso cuesco" totalsRowFunction="average" dataDxfId="33" totalsRowDxfId="32">
      <calculatedColumnFormula>AB2/Y2</calculatedColumnFormula>
    </tableColumn>
    <tableColumn id="35" xr3:uid="{2A541716-6D7D-465B-902D-E61195EF8366}" name="Cantidad efluente" dataDxfId="31" totalsRowDxfId="30"/>
    <tableColumn id="36" xr3:uid="{1A6AC6C1-CB13-473B-B87C-88D52226587C}" name="Efluente por RFF" totalsRowFunction="stdDev" dataDxfId="29" totalsRowDxfId="28">
      <calculatedColumnFormula>AD2/F2</calculatedColumnFormula>
    </tableColumn>
    <tableColumn id="38" xr3:uid="{97322F28-8F62-435D-B656-C1DBA415EF03}" name="Tiene carpado de lagunas?" dataDxfId="27" totalsRowDxfId="26"/>
    <tableColumn id="39" xr3:uid="{CD4E80FD-6EF8-49E8-824C-7B7872DB4FA0}" name="Tiene captura de metano?" dataDxfId="25" totalsRowDxfId="24"/>
    <tableColumn id="40" xr3:uid="{11D6B284-E681-422B-AE44-487F3813559A}" name="DQO entrada Lagunas" totalsRowFunction="average" dataDxfId="23" totalsRowDxfId="22"/>
    <tableColumn id="41" xr3:uid="{13415CAB-7A25-4A4C-B3AD-7F42F319531A}" name="DQO salida Lagunas" dataDxfId="21" totalsRowDxfId="20"/>
    <tableColumn id="42" xr3:uid="{4B865FDF-C86C-4D5F-B9AA-CF7A07ECA057}" name="Eficiencia de remoción DQO" totalsRowFunction="average" dataDxfId="19" totalsRowDxfId="18">
      <calculatedColumnFormula>1 -AI2/AH2</calculatedColumnFormula>
    </tableColumn>
    <tableColumn id="43" xr3:uid="{E868965B-35F6-4703-B345-95F5B31B29E4}" name="Generación con vapor" dataDxfId="17" totalsRowDxfId="16"/>
    <tableColumn id="44" xr3:uid="{7616E9B2-1351-4F2F-9EEB-32A170EA08F2}" name="Generación con biogás" dataDxfId="15" totalsRowDxfId="14"/>
    <tableColumn id="45" xr3:uid="{4C54B5CD-006C-44B5-901C-3E5A034A556F}" name="Red Nacional" dataDxfId="13" totalsRowDxfId="12"/>
    <tableColumn id="46" xr3:uid="{ABC83D7E-F5F0-4FFF-A574-EA4998C3D909}" name="Generación con diesél" dataDxfId="11" totalsRowDxfId="10"/>
    <tableColumn id="47" xr3:uid="{F1C3BF3F-CEE7-4C47-A67C-C25134895673}" name="Biomass" totalsRowFunction="sum" dataDxfId="9" totalsRowDxfId="8">
      <calculatedColumnFormula>$G2/$C2*AK2</calculatedColumnFormula>
    </tableColumn>
    <tableColumn id="48" xr3:uid="{E7BB2E4B-487F-4117-B37A-AB65FBCC66E5}" name="Biogas" totalsRowFunction="sum" dataDxfId="7" totalsRowDxfId="6">
      <calculatedColumnFormula>$G2/$C2*AL2</calculatedColumnFormula>
    </tableColumn>
    <tableColumn id="49" xr3:uid="{D07B156A-A6E0-423F-AD7D-6B9AD76CDD31}" name="Electric grid" totalsRowFunction="sum" dataDxfId="5" totalsRowDxfId="4">
      <calculatedColumnFormula>$G2/$C2*AM2</calculatedColumnFormula>
    </tableColumn>
    <tableColumn id="50" xr3:uid="{82686D8E-1B2D-4D97-A2FD-E80104D2C960}" name="Diesel" totalsRowFunction="sum" dataDxfId="3" totalsRowDxfId="2">
      <calculatedColumnFormula>$G2/$C2*AN2</calculatedColumnFormula>
    </tableColumn>
    <tableColumn id="51" xr3:uid="{E68DA5AB-18F4-4DE1-8256-EDBD7609074D}" name="Total" totalsRowFunction="sum" dataDxfId="1" totalsRowDxfId="0">
      <calculatedColumnFormula>AO2+AP2+AQ2+AR2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V1" dT="2021-05-30T01:09:21.74" personId="{DD76C24C-7300-40FC-BB10-CA0321A46725}" id="{DE60574C-D681-4B45-ADE0-34A9B26EDD8A}">
    <text>Poder calorifico inferior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43BE-EEE1-4BDD-83EE-36A56A8CFE6E}">
  <dimension ref="A1:L88"/>
  <sheetViews>
    <sheetView topLeftCell="A4" zoomScaleNormal="100" workbookViewId="0">
      <selection activeCell="D19" sqref="D19"/>
    </sheetView>
  </sheetViews>
  <sheetFormatPr baseColWidth="10" defaultColWidth="11.5" defaultRowHeight="12" x14ac:dyDescent="0.25"/>
  <cols>
    <col min="1" max="1" width="20.5" style="30" bestFit="1" customWidth="1"/>
    <col min="2" max="2" width="18.625" style="30" bestFit="1" customWidth="1"/>
    <col min="3" max="3" width="16" style="30" bestFit="1" customWidth="1"/>
    <col min="4" max="4" width="17.5" style="30" bestFit="1" customWidth="1"/>
    <col min="5" max="5" width="14" style="30" bestFit="1" customWidth="1"/>
    <col min="6" max="7" width="12.5" style="30" bestFit="1" customWidth="1"/>
    <col min="8" max="9" width="18" style="30" customWidth="1"/>
    <col min="10" max="10" width="15.125" style="30" bestFit="1" customWidth="1"/>
    <col min="11" max="11" width="12.625" style="30" bestFit="1" customWidth="1"/>
    <col min="12" max="12" width="19" style="30" bestFit="1" customWidth="1"/>
    <col min="13" max="16384" width="11.5" style="30"/>
  </cols>
  <sheetData>
    <row r="1" spans="1:12" x14ac:dyDescent="0.25">
      <c r="B1" s="397">
        <v>2022</v>
      </c>
      <c r="C1" s="397"/>
      <c r="D1" s="397"/>
      <c r="E1" s="397"/>
    </row>
    <row r="2" spans="1:12" x14ac:dyDescent="0.25">
      <c r="B2" s="28" t="s">
        <v>63</v>
      </c>
      <c r="C2" s="28" t="s">
        <v>72</v>
      </c>
      <c r="D2" s="28" t="s">
        <v>77</v>
      </c>
      <c r="E2" s="28" t="s">
        <v>78</v>
      </c>
    </row>
    <row r="3" spans="1:12" x14ac:dyDescent="0.25">
      <c r="A3" s="31"/>
      <c r="B3" s="29" t="s">
        <v>41</v>
      </c>
    </row>
    <row r="4" spans="1:12" x14ac:dyDescent="0.25">
      <c r="A4" s="31" t="s">
        <v>40</v>
      </c>
      <c r="B4" s="32">
        <f>5835887500/4250</f>
        <v>1373150</v>
      </c>
    </row>
    <row r="5" spans="1:12" x14ac:dyDescent="0.25">
      <c r="A5" s="31" t="s">
        <v>42</v>
      </c>
      <c r="B5" s="33">
        <f>13592578000/4250</f>
        <v>3198253.6470588236</v>
      </c>
    </row>
    <row r="6" spans="1:12" x14ac:dyDescent="0.25">
      <c r="A6" s="31" t="s">
        <v>43</v>
      </c>
      <c r="B6" s="34">
        <f>9455816000/4250</f>
        <v>2224897.8823529412</v>
      </c>
    </row>
    <row r="7" spans="1:12" x14ac:dyDescent="0.25">
      <c r="A7" s="35" t="s">
        <v>45</v>
      </c>
      <c r="B7" s="36">
        <f>SUM(B4:B6)</f>
        <v>6796301.5294117648</v>
      </c>
      <c r="C7" s="33">
        <v>6777481</v>
      </c>
      <c r="D7" s="33">
        <f>+B60*4.25</f>
        <v>9888944.9600000009</v>
      </c>
      <c r="E7" s="33">
        <f>28316365000/4250</f>
        <v>6662674.1176470593</v>
      </c>
      <c r="F7" s="30">
        <f>B7/B8</f>
        <v>15</v>
      </c>
    </row>
    <row r="8" spans="1:12" x14ac:dyDescent="0.25">
      <c r="A8" s="30" t="s">
        <v>62</v>
      </c>
      <c r="B8" s="34">
        <f>+B7/15</f>
        <v>453086.76862745098</v>
      </c>
      <c r="C8" s="34">
        <f>+C7/15</f>
        <v>451832.06666666665</v>
      </c>
      <c r="D8" s="33">
        <f>+D7/20</f>
        <v>494447.24800000002</v>
      </c>
      <c r="E8" s="33">
        <f>+E7/15</f>
        <v>444178.27450980397</v>
      </c>
    </row>
    <row r="9" spans="1:12" x14ac:dyDescent="0.25">
      <c r="A9" s="31" t="s">
        <v>85</v>
      </c>
      <c r="B9" s="33">
        <f>640000+220000+4500+212372+148900</f>
        <v>1225772</v>
      </c>
      <c r="C9" s="33">
        <f>1318863+172918</f>
        <v>1491781</v>
      </c>
      <c r="D9" s="37"/>
      <c r="E9" s="37"/>
    </row>
    <row r="10" spans="1:12" x14ac:dyDescent="0.25">
      <c r="A10" s="31" t="s">
        <v>86</v>
      </c>
      <c r="B10" s="33">
        <f>+B9/600</f>
        <v>2042.9533333333334</v>
      </c>
      <c r="C10" s="33">
        <f>+C9/530</f>
        <v>2814.6811320754719</v>
      </c>
      <c r="D10" s="37"/>
      <c r="E10" s="37"/>
    </row>
    <row r="11" spans="1:12" x14ac:dyDescent="0.25">
      <c r="B11" s="37">
        <f>0.06*B8</f>
        <v>27185.206117647056</v>
      </c>
      <c r="C11" s="37">
        <f t="shared" ref="C11:E11" si="0">0.06*C8</f>
        <v>27109.923999999999</v>
      </c>
      <c r="D11" s="37">
        <f t="shared" si="0"/>
        <v>29666.834879999999</v>
      </c>
      <c r="E11" s="37">
        <f t="shared" si="0"/>
        <v>26650.696470588238</v>
      </c>
    </row>
    <row r="12" spans="1:12" x14ac:dyDescent="0.25">
      <c r="B12" s="37"/>
      <c r="C12" s="37"/>
      <c r="D12" s="37"/>
      <c r="E12" s="37"/>
    </row>
    <row r="13" spans="1:12" x14ac:dyDescent="0.25">
      <c r="B13" s="37"/>
      <c r="G13" s="401" t="s">
        <v>488</v>
      </c>
      <c r="H13" s="401"/>
      <c r="I13" s="211" t="s">
        <v>293</v>
      </c>
    </row>
    <row r="14" spans="1:12" x14ac:dyDescent="0.25">
      <c r="A14" s="31"/>
      <c r="B14" s="31" t="s">
        <v>45</v>
      </c>
      <c r="G14" s="30" t="s">
        <v>46</v>
      </c>
      <c r="I14" s="210"/>
      <c r="J14" s="170">
        <f>(+B15+B34+B49+C62)/4</f>
        <v>182701.90000000002</v>
      </c>
      <c r="K14" s="212">
        <f>+J14/15</f>
        <v>12180.126666666669</v>
      </c>
      <c r="L14" s="30" t="s">
        <v>490</v>
      </c>
    </row>
    <row r="15" spans="1:12" x14ac:dyDescent="0.25">
      <c r="A15" s="31" t="s">
        <v>46</v>
      </c>
      <c r="B15" s="33">
        <v>126118.35294117648</v>
      </c>
      <c r="C15" s="130">
        <f>B15/$B$32</f>
        <v>2.8144443300645271E-2</v>
      </c>
      <c r="D15" s="38"/>
      <c r="G15" s="30" t="s">
        <v>492</v>
      </c>
      <c r="I15" s="210"/>
      <c r="J15" s="170">
        <f>+(B16+B35+B50+C63)/4</f>
        <v>584219.14705882361</v>
      </c>
      <c r="K15" s="212">
        <f t="shared" ref="K15:K23" si="1">+J15/15</f>
        <v>38947.943137254908</v>
      </c>
      <c r="L15" s="30" t="s">
        <v>490</v>
      </c>
    </row>
    <row r="16" spans="1:12" x14ac:dyDescent="0.25">
      <c r="A16" s="31" t="s">
        <v>44</v>
      </c>
      <c r="B16" s="33">
        <v>467188.70588235295</v>
      </c>
      <c r="C16" s="130">
        <f t="shared" ref="C16:C31" si="2">B16/$B$32</f>
        <v>0.10425735617987739</v>
      </c>
      <c r="D16" s="38"/>
      <c r="G16" s="30" t="s">
        <v>105</v>
      </c>
      <c r="I16" s="210"/>
      <c r="J16" s="170">
        <f>+G87</f>
        <v>576007.03394914349</v>
      </c>
      <c r="K16" s="212">
        <f t="shared" si="1"/>
        <v>38400.468929942901</v>
      </c>
      <c r="L16" s="30" t="s">
        <v>490</v>
      </c>
    </row>
    <row r="17" spans="1:12" x14ac:dyDescent="0.25">
      <c r="A17" s="31" t="s">
        <v>47</v>
      </c>
      <c r="B17" s="33">
        <v>98936.470588235301</v>
      </c>
      <c r="C17" s="130">
        <f t="shared" si="2"/>
        <v>2.2078562095837754E-2</v>
      </c>
      <c r="D17" s="38"/>
      <c r="G17" s="30" t="s">
        <v>80</v>
      </c>
      <c r="I17" s="210"/>
      <c r="J17" s="170">
        <f>+C65</f>
        <v>111769.17647058824</v>
      </c>
      <c r="K17" s="212">
        <f t="shared" si="1"/>
        <v>7451.2784313725488</v>
      </c>
      <c r="L17" s="30" t="s">
        <v>490</v>
      </c>
    </row>
    <row r="18" spans="1:12" x14ac:dyDescent="0.25">
      <c r="A18" s="31" t="s">
        <v>48</v>
      </c>
      <c r="B18" s="33">
        <v>14113.176470588236</v>
      </c>
      <c r="C18" s="130">
        <f t="shared" si="2"/>
        <v>3.1494820991972133E-3</v>
      </c>
      <c r="D18" s="38"/>
      <c r="G18" s="30" t="s">
        <v>278</v>
      </c>
      <c r="I18" s="210"/>
      <c r="J18" s="170">
        <f>(+B17+B36+B51+C64)/4</f>
        <v>133276.05176470589</v>
      </c>
      <c r="K18" s="212">
        <f t="shared" si="1"/>
        <v>8885.0701176470593</v>
      </c>
      <c r="L18" s="30" t="s">
        <v>490</v>
      </c>
    </row>
    <row r="19" spans="1:12" x14ac:dyDescent="0.25">
      <c r="A19" s="31" t="s">
        <v>49</v>
      </c>
      <c r="B19" s="33">
        <v>157923.0588235294</v>
      </c>
      <c r="C19" s="130">
        <f t="shared" si="2"/>
        <v>3.5241949099956503E-2</v>
      </c>
      <c r="D19" s="38"/>
      <c r="G19" s="30" t="s">
        <v>493</v>
      </c>
      <c r="I19" s="210"/>
      <c r="J19" s="170">
        <f>(+B19+B37+B52+C66)/4</f>
        <v>258389.81058823527</v>
      </c>
      <c r="K19" s="212">
        <f t="shared" si="1"/>
        <v>17225.987372549018</v>
      </c>
      <c r="L19" s="30" t="s">
        <v>490</v>
      </c>
    </row>
    <row r="20" spans="1:12" x14ac:dyDescent="0.25">
      <c r="A20" s="31" t="s">
        <v>50</v>
      </c>
      <c r="B20" s="33">
        <v>356866.23529411765</v>
      </c>
      <c r="C20" s="130">
        <f t="shared" si="2"/>
        <v>7.9637905910764709E-2</v>
      </c>
      <c r="D20" s="38"/>
      <c r="G20" s="30" t="s">
        <v>494</v>
      </c>
      <c r="I20" s="210"/>
      <c r="J20" s="170">
        <f>(+B41+C67)/2</f>
        <v>350515.5882352941</v>
      </c>
      <c r="K20" s="212">
        <f t="shared" si="1"/>
        <v>23367.705882352941</v>
      </c>
      <c r="L20" s="30" t="s">
        <v>490</v>
      </c>
    </row>
    <row r="21" spans="1:12" x14ac:dyDescent="0.25">
      <c r="A21" s="31" t="s">
        <v>51</v>
      </c>
      <c r="B21" s="33">
        <v>101162.82352941176</v>
      </c>
      <c r="C21" s="130">
        <f t="shared" si="2"/>
        <v>2.2575392752589123E-2</v>
      </c>
      <c r="D21" s="38"/>
      <c r="G21" s="30" t="s">
        <v>495</v>
      </c>
      <c r="I21" s="210"/>
      <c r="J21" s="170">
        <f>+(B40+B20+B56)/3</f>
        <v>280446.41176470584</v>
      </c>
      <c r="K21" s="212">
        <f t="shared" si="1"/>
        <v>18696.427450980391</v>
      </c>
      <c r="L21" s="30" t="s">
        <v>490</v>
      </c>
    </row>
    <row r="22" spans="1:12" x14ac:dyDescent="0.25">
      <c r="A22" s="31" t="s">
        <v>52</v>
      </c>
      <c r="B22" s="33">
        <v>506554.35294117645</v>
      </c>
      <c r="C22" s="130">
        <f t="shared" si="2"/>
        <v>0.11304215391789592</v>
      </c>
      <c r="D22" s="38"/>
      <c r="G22" s="30" t="s">
        <v>57</v>
      </c>
      <c r="I22" s="210"/>
      <c r="J22" s="170">
        <f>+B26</f>
        <v>201415.29411764705</v>
      </c>
      <c r="K22" s="212">
        <f t="shared" si="1"/>
        <v>13427.686274509802</v>
      </c>
      <c r="L22" s="30" t="s">
        <v>490</v>
      </c>
    </row>
    <row r="23" spans="1:12" x14ac:dyDescent="0.25">
      <c r="A23" s="31" t="s">
        <v>53</v>
      </c>
      <c r="B23" s="33">
        <v>1076872.4705882352</v>
      </c>
      <c r="C23" s="130">
        <f t="shared" si="2"/>
        <v>0.2403137646796932</v>
      </c>
      <c r="D23" s="38"/>
      <c r="G23" s="30" t="s">
        <v>52</v>
      </c>
      <c r="I23" s="210"/>
      <c r="J23" s="170">
        <f>+(B22+C70+B39)/3</f>
        <v>553487.31372549024</v>
      </c>
      <c r="K23" s="212">
        <f t="shared" si="1"/>
        <v>36899.154248366016</v>
      </c>
      <c r="L23" s="30" t="s">
        <v>490</v>
      </c>
    </row>
    <row r="24" spans="1:12" x14ac:dyDescent="0.25">
      <c r="A24" s="31" t="s">
        <v>54</v>
      </c>
      <c r="B24" s="33">
        <v>148900</v>
      </c>
      <c r="C24" s="130">
        <f t="shared" si="2"/>
        <v>3.3228372475025032E-2</v>
      </c>
      <c r="D24" s="38"/>
      <c r="I24" s="210"/>
      <c r="J24" s="170"/>
    </row>
    <row r="25" spans="1:12" x14ac:dyDescent="0.25">
      <c r="A25" s="31" t="s">
        <v>56</v>
      </c>
      <c r="B25" s="33">
        <v>3529.4117647058824</v>
      </c>
      <c r="C25" s="130">
        <f t="shared" si="2"/>
        <v>7.8761993777960021E-4</v>
      </c>
      <c r="D25" s="38"/>
      <c r="G25" s="30" t="s">
        <v>496</v>
      </c>
      <c r="I25" s="210"/>
      <c r="J25" s="170">
        <f>(+B44+B23+C71)/3</f>
        <v>1141062.1960784313</v>
      </c>
      <c r="K25" s="213">
        <f>+J25/15</f>
        <v>76070.81307189542</v>
      </c>
      <c r="L25" s="30" t="s">
        <v>491</v>
      </c>
    </row>
    <row r="26" spans="1:12" x14ac:dyDescent="0.25">
      <c r="A26" s="31" t="s">
        <v>57</v>
      </c>
      <c r="B26" s="33">
        <v>201415.29411764705</v>
      </c>
      <c r="C26" s="130">
        <f t="shared" si="2"/>
        <v>4.4947632069226959E-2</v>
      </c>
      <c r="D26" s="38"/>
      <c r="G26" s="30" t="s">
        <v>279</v>
      </c>
      <c r="I26" s="210"/>
      <c r="J26" s="170">
        <f>+C10</f>
        <v>2814.6811320754719</v>
      </c>
      <c r="K26" s="213">
        <v>20802</v>
      </c>
      <c r="L26" s="30" t="s">
        <v>489</v>
      </c>
    </row>
    <row r="27" spans="1:12" x14ac:dyDescent="0.25">
      <c r="A27" s="31" t="s">
        <v>58</v>
      </c>
      <c r="B27" s="33">
        <v>52196.705882352944</v>
      </c>
      <c r="C27" s="130">
        <f t="shared" si="2"/>
        <v>1.1648163767818359E-2</v>
      </c>
      <c r="D27" s="38"/>
      <c r="G27" s="30" t="s">
        <v>280</v>
      </c>
      <c r="I27" s="210"/>
      <c r="J27" s="170">
        <v>107297</v>
      </c>
      <c r="K27" s="213">
        <f>+J27/15</f>
        <v>7153.1333333333332</v>
      </c>
      <c r="L27" s="30" t="s">
        <v>490</v>
      </c>
    </row>
    <row r="28" spans="1:12" x14ac:dyDescent="0.25">
      <c r="A28" s="31" t="s">
        <v>59</v>
      </c>
      <c r="B28" s="33">
        <v>89133.647058823524</v>
      </c>
      <c r="C28" s="130">
        <f t="shared" si="2"/>
        <v>1.9890973972652836E-2</v>
      </c>
      <c r="D28" s="38"/>
      <c r="G28" s="30" t="s">
        <v>283</v>
      </c>
      <c r="I28" s="210"/>
      <c r="J28" s="213"/>
      <c r="K28" s="213">
        <v>3669</v>
      </c>
      <c r="L28" s="30" t="s">
        <v>489</v>
      </c>
    </row>
    <row r="29" spans="1:12" x14ac:dyDescent="0.25">
      <c r="A29" s="31" t="s">
        <v>55</v>
      </c>
      <c r="B29" s="33">
        <v>205236</v>
      </c>
      <c r="C29" s="130">
        <f t="shared" si="2"/>
        <v>4.5800256905871306E-2</v>
      </c>
      <c r="D29" s="38"/>
      <c r="G29" s="30" t="s">
        <v>284</v>
      </c>
      <c r="I29" s="210"/>
      <c r="K29" s="213">
        <v>11515</v>
      </c>
      <c r="L29" s="30" t="s">
        <v>491</v>
      </c>
    </row>
    <row r="30" spans="1:12" x14ac:dyDescent="0.25">
      <c r="A30" s="31" t="s">
        <v>60</v>
      </c>
      <c r="B30" s="33">
        <v>687941.8823529412</v>
      </c>
      <c r="C30" s="130">
        <f t="shared" si="2"/>
        <v>0.15352041039619463</v>
      </c>
      <c r="D30" s="38"/>
    </row>
    <row r="31" spans="1:12" x14ac:dyDescent="0.25">
      <c r="A31" s="31" t="s">
        <v>61</v>
      </c>
      <c r="B31" s="33">
        <v>187021.64705882352</v>
      </c>
      <c r="C31" s="130">
        <f t="shared" si="2"/>
        <v>4.1735560438974195E-2</v>
      </c>
      <c r="D31" s="38"/>
      <c r="I31" s="210"/>
    </row>
    <row r="32" spans="1:12" x14ac:dyDescent="0.25">
      <c r="A32" s="31"/>
      <c r="B32" s="33">
        <f>SUM(B15:B31)</f>
        <v>4481110.2352941176</v>
      </c>
      <c r="C32" s="37"/>
      <c r="D32" s="38"/>
      <c r="G32" s="30" t="s">
        <v>499</v>
      </c>
      <c r="I32" s="210"/>
      <c r="K32" s="30">
        <v>2758</v>
      </c>
      <c r="L32" s="30" t="s">
        <v>497</v>
      </c>
    </row>
    <row r="33" spans="1:12" x14ac:dyDescent="0.25">
      <c r="B33" s="37"/>
      <c r="C33" s="37"/>
      <c r="G33" s="30" t="s">
        <v>285</v>
      </c>
      <c r="I33" s="210"/>
      <c r="K33" s="30">
        <v>125</v>
      </c>
      <c r="L33" s="30" t="s">
        <v>498</v>
      </c>
    </row>
    <row r="34" spans="1:12" x14ac:dyDescent="0.25">
      <c r="A34" s="31" t="s">
        <v>46</v>
      </c>
      <c r="B34" s="33">
        <v>115642</v>
      </c>
      <c r="C34" s="131">
        <f>+B34/$B$47</f>
        <v>2.0539706808038412E-2</v>
      </c>
      <c r="I34" s="210"/>
    </row>
    <row r="35" spans="1:12" x14ac:dyDescent="0.25">
      <c r="A35" s="31" t="s">
        <v>44</v>
      </c>
      <c r="B35" s="33">
        <v>366594</v>
      </c>
      <c r="C35" s="131">
        <f t="shared" ref="C35:C46" si="3">+B35/$B$47</f>
        <v>6.511244424677913E-2</v>
      </c>
      <c r="I35" s="210"/>
    </row>
    <row r="36" spans="1:12" x14ac:dyDescent="0.25">
      <c r="A36" s="31" t="s">
        <v>47</v>
      </c>
      <c r="B36" s="33">
        <v>162000</v>
      </c>
      <c r="C36" s="131">
        <f t="shared" si="3"/>
        <v>2.8773564128104171E-2</v>
      </c>
      <c r="G36" s="30" t="s">
        <v>281</v>
      </c>
      <c r="I36" s="210"/>
      <c r="K36" s="30">
        <v>29655</v>
      </c>
      <c r="L36" s="30" t="s">
        <v>500</v>
      </c>
    </row>
    <row r="37" spans="1:12" x14ac:dyDescent="0.25">
      <c r="A37" s="31" t="s">
        <v>49</v>
      </c>
      <c r="B37" s="33">
        <v>190618</v>
      </c>
      <c r="C37" s="131">
        <f t="shared" si="3"/>
        <v>3.3856538561549139E-2</v>
      </c>
      <c r="G37" s="30" t="s">
        <v>282</v>
      </c>
      <c r="I37" s="210"/>
    </row>
    <row r="38" spans="1:12" x14ac:dyDescent="0.25">
      <c r="A38" s="31" t="s">
        <v>51</v>
      </c>
      <c r="B38" s="33">
        <v>110413</v>
      </c>
      <c r="C38" s="131">
        <f t="shared" si="3"/>
        <v>1.9610960099236827E-2</v>
      </c>
      <c r="I38" s="210"/>
    </row>
    <row r="39" spans="1:12" x14ac:dyDescent="0.25">
      <c r="A39" s="31" t="s">
        <v>64</v>
      </c>
      <c r="B39" s="33">
        <v>486085</v>
      </c>
      <c r="C39" s="131">
        <f t="shared" si="3"/>
        <v>8.6335789624750095E-2</v>
      </c>
      <c r="K39" s="30">
        <f>86000/2.9</f>
        <v>29655.172413793105</v>
      </c>
    </row>
    <row r="40" spans="1:12" x14ac:dyDescent="0.25">
      <c r="A40" s="31" t="s">
        <v>65</v>
      </c>
      <c r="B40" s="33">
        <v>223401</v>
      </c>
      <c r="C40" s="131">
        <f t="shared" si="3"/>
        <v>3.9679277776435803E-2</v>
      </c>
    </row>
    <row r="41" spans="1:12" x14ac:dyDescent="0.25">
      <c r="A41" s="31" t="s">
        <v>66</v>
      </c>
      <c r="B41" s="33">
        <v>268982</v>
      </c>
      <c r="C41" s="131">
        <f t="shared" si="3"/>
        <v>4.7775128557442689E-2</v>
      </c>
    </row>
    <row r="42" spans="1:12" x14ac:dyDescent="0.25">
      <c r="A42" s="31" t="s">
        <v>67</v>
      </c>
      <c r="B42" s="33">
        <v>27813</v>
      </c>
      <c r="C42" s="131">
        <f t="shared" si="3"/>
        <v>4.9399946857713655E-3</v>
      </c>
    </row>
    <row r="43" spans="1:12" x14ac:dyDescent="0.25">
      <c r="A43" s="31" t="s">
        <v>68</v>
      </c>
      <c r="B43" s="33">
        <v>68250</v>
      </c>
      <c r="C43" s="131">
        <f t="shared" si="3"/>
        <v>1.2122195998414256E-2</v>
      </c>
    </row>
    <row r="44" spans="1:12" x14ac:dyDescent="0.25">
      <c r="A44" s="31" t="s">
        <v>69</v>
      </c>
      <c r="B44" s="33">
        <f>50373+1318863</f>
        <v>1369236</v>
      </c>
      <c r="C44" s="131">
        <f t="shared" si="3"/>
        <v>0.24319629538585705</v>
      </c>
    </row>
    <row r="45" spans="1:12" x14ac:dyDescent="0.25">
      <c r="A45" s="31" t="s">
        <v>54</v>
      </c>
      <c r="B45" s="33">
        <v>172918</v>
      </c>
      <c r="C45" s="131">
        <f t="shared" si="3"/>
        <v>3.0712760258663686E-2</v>
      </c>
    </row>
    <row r="46" spans="1:12" x14ac:dyDescent="0.25">
      <c r="A46" s="31" t="s">
        <v>70</v>
      </c>
      <c r="B46" s="33">
        <f>1672841+395375</f>
        <v>2068216</v>
      </c>
      <c r="C46" s="131">
        <f t="shared" si="3"/>
        <v>0.3673453438689574</v>
      </c>
      <c r="D46" s="38">
        <f>+(C45+C44)*B46</f>
        <v>566503.09142888803</v>
      </c>
    </row>
    <row r="47" spans="1:12" x14ac:dyDescent="0.25">
      <c r="A47" s="31" t="s">
        <v>71</v>
      </c>
      <c r="B47" s="33">
        <f>SUM(B34:B46)</f>
        <v>5630168</v>
      </c>
      <c r="C47" s="131">
        <f>+B47/$B$47</f>
        <v>1</v>
      </c>
    </row>
    <row r="49" spans="1:4" x14ac:dyDescent="0.25">
      <c r="A49" s="31" t="s">
        <v>46</v>
      </c>
      <c r="B49" s="33">
        <f>510091800/4250</f>
        <v>120021.6</v>
      </c>
      <c r="C49" s="131">
        <f>+B49/$B$60</f>
        <v>5.1582024378058623E-2</v>
      </c>
    </row>
    <row r="50" spans="1:4" x14ac:dyDescent="0.25">
      <c r="A50" s="31" t="s">
        <v>44</v>
      </c>
      <c r="B50" s="33">
        <f>(2475805200+1690996800)/4250</f>
        <v>980424</v>
      </c>
      <c r="C50" s="131">
        <f t="shared" ref="C50:C59" si="4">+B50/$B$60</f>
        <v>0.42135961084366269</v>
      </c>
    </row>
    <row r="51" spans="1:4" x14ac:dyDescent="0.25">
      <c r="A51" s="31" t="s">
        <v>47</v>
      </c>
      <c r="B51" s="33">
        <f>614080880/4250</f>
        <v>144489.61882352942</v>
      </c>
      <c r="C51" s="131">
        <f t="shared" si="4"/>
        <v>6.209771441583592E-2</v>
      </c>
    </row>
    <row r="52" spans="1:4" x14ac:dyDescent="0.25">
      <c r="A52" s="31" t="s">
        <v>49</v>
      </c>
      <c r="B52" s="33">
        <f>+(716284800+619266480)/4250</f>
        <v>314247.36</v>
      </c>
      <c r="C52" s="131">
        <f t="shared" si="4"/>
        <v>0.13505498163880972</v>
      </c>
    </row>
    <row r="53" spans="1:4" x14ac:dyDescent="0.25">
      <c r="A53" s="31" t="s">
        <v>51</v>
      </c>
      <c r="B53" s="33">
        <f>603942000/4250</f>
        <v>142104</v>
      </c>
      <c r="C53" s="131">
        <f t="shared" si="4"/>
        <v>6.1072440229255752E-2</v>
      </c>
    </row>
    <row r="54" spans="1:4" x14ac:dyDescent="0.25">
      <c r="A54" s="31" t="s">
        <v>73</v>
      </c>
      <c r="B54" s="33">
        <f>287232000/4250</f>
        <v>67584</v>
      </c>
      <c r="C54" s="131">
        <f t="shared" si="4"/>
        <v>2.9045767891502147E-2</v>
      </c>
    </row>
    <row r="55" spans="1:4" x14ac:dyDescent="0.25">
      <c r="A55" s="31" t="s">
        <v>52</v>
      </c>
      <c r="B55" s="33">
        <f>+(160854000+97450800)/4250</f>
        <v>60777.599999999999</v>
      </c>
      <c r="C55" s="131">
        <f t="shared" si="4"/>
        <v>2.612056200583808E-2</v>
      </c>
    </row>
    <row r="56" spans="1:4" x14ac:dyDescent="0.25">
      <c r="A56" s="31" t="s">
        <v>74</v>
      </c>
      <c r="B56" s="33">
        <f>+(903516000+206040000)/4250</f>
        <v>261072</v>
      </c>
      <c r="C56" s="131">
        <f t="shared" si="4"/>
        <v>0.11220165593883535</v>
      </c>
    </row>
    <row r="57" spans="1:4" x14ac:dyDescent="0.25">
      <c r="A57" s="31" t="s">
        <v>75</v>
      </c>
      <c r="B57" s="33">
        <f>220503600/4250</f>
        <v>51883.199999999997</v>
      </c>
      <c r="C57" s="131">
        <f t="shared" si="4"/>
        <v>2.2297990421821498E-2</v>
      </c>
    </row>
    <row r="58" spans="1:4" x14ac:dyDescent="0.25">
      <c r="A58" s="31" t="s">
        <v>68</v>
      </c>
      <c r="B58" s="33">
        <f>326869200/4250</f>
        <v>76910.399999999994</v>
      </c>
      <c r="C58" s="131">
        <f t="shared" si="4"/>
        <v>3.3054001344143387E-2</v>
      </c>
    </row>
    <row r="59" spans="1:4" x14ac:dyDescent="0.25">
      <c r="A59" s="31" t="s">
        <v>76</v>
      </c>
      <c r="B59" s="33">
        <f>456011400/4250</f>
        <v>107296.8</v>
      </c>
      <c r="C59" s="131">
        <f t="shared" si="4"/>
        <v>4.6113250892236737E-2</v>
      </c>
    </row>
    <row r="60" spans="1:4" x14ac:dyDescent="0.25">
      <c r="A60" s="31"/>
      <c r="B60" s="33">
        <f>SUM(B49:B59)</f>
        <v>2326810.5788235296</v>
      </c>
    </row>
    <row r="61" spans="1:4" x14ac:dyDescent="0.25">
      <c r="B61" s="37"/>
    </row>
    <row r="62" spans="1:4" x14ac:dyDescent="0.25">
      <c r="A62" s="31" t="s">
        <v>79</v>
      </c>
      <c r="B62" s="33">
        <v>1568359000</v>
      </c>
      <c r="C62" s="33">
        <f>+B62/4250</f>
        <v>369025.64705882355</v>
      </c>
      <c r="D62" s="131">
        <f>+C62/$C$75</f>
        <v>5.638260067409958E-2</v>
      </c>
    </row>
    <row r="63" spans="1:4" x14ac:dyDescent="0.25">
      <c r="A63" s="31" t="s">
        <v>44</v>
      </c>
      <c r="B63" s="33">
        <v>2221347000</v>
      </c>
      <c r="C63" s="33">
        <f t="shared" ref="C63:C75" si="5">+B63/4250</f>
        <v>522669.8823529412</v>
      </c>
      <c r="D63" s="131">
        <f t="shared" ref="D63:D75" si="6">+C63/$C$75</f>
        <v>7.9857558670947834E-2</v>
      </c>
    </row>
    <row r="64" spans="1:4" x14ac:dyDescent="0.25">
      <c r="A64" s="31" t="s">
        <v>47</v>
      </c>
      <c r="B64" s="33">
        <v>542632000</v>
      </c>
      <c r="C64" s="33">
        <f t="shared" si="5"/>
        <v>127678.11764705883</v>
      </c>
      <c r="D64" s="131">
        <f t="shared" si="6"/>
        <v>1.950765313871888E-2</v>
      </c>
    </row>
    <row r="65" spans="1:7" x14ac:dyDescent="0.25">
      <c r="A65" s="31" t="s">
        <v>80</v>
      </c>
      <c r="B65" s="33">
        <v>475019000</v>
      </c>
      <c r="C65" s="33">
        <f t="shared" si="5"/>
        <v>111769.17647058824</v>
      </c>
      <c r="D65" s="131">
        <f t="shared" si="6"/>
        <v>1.707696170941099E-2</v>
      </c>
    </row>
    <row r="66" spans="1:7" x14ac:dyDescent="0.25">
      <c r="A66" s="31" t="s">
        <v>49</v>
      </c>
      <c r="B66" s="33">
        <v>1575776000</v>
      </c>
      <c r="C66" s="33">
        <f t="shared" si="5"/>
        <v>370770.82352941175</v>
      </c>
      <c r="D66" s="131">
        <f t="shared" si="6"/>
        <v>5.6649242271590836E-2</v>
      </c>
    </row>
    <row r="67" spans="1:7" x14ac:dyDescent="0.25">
      <c r="A67" s="31" t="s">
        <v>50</v>
      </c>
      <c r="B67" s="33">
        <v>1836209000</v>
      </c>
      <c r="C67" s="33">
        <f t="shared" si="5"/>
        <v>432049.17647058825</v>
      </c>
      <c r="D67" s="131">
        <f t="shared" si="6"/>
        <v>6.6011824334344188E-2</v>
      </c>
    </row>
    <row r="68" spans="1:7" x14ac:dyDescent="0.25">
      <c r="A68" s="31" t="s">
        <v>81</v>
      </c>
      <c r="B68" s="33">
        <v>832034000</v>
      </c>
      <c r="C68" s="33">
        <f t="shared" si="5"/>
        <v>195772.70588235295</v>
      </c>
      <c r="D68" s="131">
        <f t="shared" si="6"/>
        <v>2.9911672499264373E-2</v>
      </c>
    </row>
    <row r="69" spans="1:7" x14ac:dyDescent="0.25">
      <c r="A69" s="31" t="s">
        <v>51</v>
      </c>
      <c r="B69" s="33">
        <v>647029000</v>
      </c>
      <c r="C69" s="33">
        <f t="shared" si="5"/>
        <v>152242.11764705883</v>
      </c>
      <c r="D69" s="131">
        <f t="shared" si="6"/>
        <v>2.3260731587322787E-2</v>
      </c>
    </row>
    <row r="70" spans="1:7" x14ac:dyDescent="0.25">
      <c r="A70" s="31" t="s">
        <v>52</v>
      </c>
      <c r="B70" s="33">
        <v>2838246000</v>
      </c>
      <c r="C70" s="33">
        <f t="shared" si="5"/>
        <v>667822.5882352941</v>
      </c>
      <c r="D70" s="131">
        <f t="shared" si="6"/>
        <v>0.10203511494043165</v>
      </c>
    </row>
    <row r="71" spans="1:7" x14ac:dyDescent="0.25">
      <c r="A71" s="31" t="s">
        <v>69</v>
      </c>
      <c r="B71" s="33">
        <v>4152582000</v>
      </c>
      <c r="C71" s="33">
        <f t="shared" si="5"/>
        <v>977078.1176470588</v>
      </c>
      <c r="D71" s="131">
        <f t="shared" si="6"/>
        <v>0.14928557343851362</v>
      </c>
    </row>
    <row r="72" spans="1:7" x14ac:dyDescent="0.25">
      <c r="A72" s="31" t="s">
        <v>82</v>
      </c>
      <c r="B72" s="33">
        <v>4358222000</v>
      </c>
      <c r="C72" s="33">
        <f t="shared" si="5"/>
        <v>1025464</v>
      </c>
      <c r="D72" s="131">
        <f t="shared" si="6"/>
        <v>0.15667834384543056</v>
      </c>
    </row>
    <row r="73" spans="1:7" x14ac:dyDescent="0.25">
      <c r="A73" s="31" t="s">
        <v>83</v>
      </c>
      <c r="B73" s="33">
        <v>2849578000</v>
      </c>
      <c r="C73" s="33">
        <f t="shared" si="5"/>
        <v>670488.9411764706</v>
      </c>
      <c r="D73" s="131">
        <f t="shared" si="6"/>
        <v>0.10244250102412734</v>
      </c>
    </row>
    <row r="74" spans="1:7" x14ac:dyDescent="0.25">
      <c r="A74" s="31" t="s">
        <v>84</v>
      </c>
      <c r="B74" s="33">
        <v>3919332000</v>
      </c>
      <c r="C74" s="33">
        <f t="shared" si="5"/>
        <v>922195.76470588241</v>
      </c>
      <c r="D74" s="131">
        <f t="shared" si="6"/>
        <v>0.14090022186579734</v>
      </c>
    </row>
    <row r="75" spans="1:7" x14ac:dyDescent="0.25">
      <c r="A75" s="31"/>
      <c r="B75" s="33">
        <f>SUM(B62:B74)</f>
        <v>27816365000</v>
      </c>
      <c r="C75" s="33">
        <f t="shared" si="5"/>
        <v>6545027.0588235296</v>
      </c>
      <c r="D75" s="131">
        <f t="shared" si="6"/>
        <v>1</v>
      </c>
    </row>
    <row r="78" spans="1:7" ht="12.6" thickBot="1" x14ac:dyDescent="0.3"/>
    <row r="79" spans="1:7" ht="12.6" thickBot="1" x14ac:dyDescent="0.3">
      <c r="A79" s="398" t="s">
        <v>105</v>
      </c>
      <c r="B79" s="399"/>
      <c r="C79" s="399"/>
      <c r="D79" s="399"/>
      <c r="E79" s="400"/>
      <c r="F79" s="70">
        <v>2017</v>
      </c>
      <c r="G79" s="71">
        <v>2022</v>
      </c>
    </row>
    <row r="80" spans="1:7" x14ac:dyDescent="0.25">
      <c r="A80" s="56" t="s">
        <v>87</v>
      </c>
      <c r="B80" s="57" t="s">
        <v>88</v>
      </c>
      <c r="C80" s="41"/>
      <c r="D80" s="41"/>
      <c r="E80" s="42"/>
      <c r="F80" s="49"/>
      <c r="G80" s="69"/>
    </row>
    <row r="81" spans="1:7" ht="36" x14ac:dyDescent="0.25">
      <c r="A81" s="43" t="s">
        <v>31</v>
      </c>
      <c r="B81" s="44" t="s">
        <v>89</v>
      </c>
      <c r="C81" s="45" t="s">
        <v>90</v>
      </c>
      <c r="D81" s="45" t="s">
        <v>91</v>
      </c>
      <c r="E81" s="46" t="s">
        <v>92</v>
      </c>
      <c r="F81" s="62">
        <v>44100</v>
      </c>
      <c r="G81" s="66">
        <f>+F81*(1)^0.6*(806/567)</f>
        <v>62688.888888888891</v>
      </c>
    </row>
    <row r="82" spans="1:7" x14ac:dyDescent="0.25">
      <c r="A82" s="39" t="s">
        <v>93</v>
      </c>
      <c r="B82" s="40" t="s">
        <v>94</v>
      </c>
      <c r="C82" s="48"/>
      <c r="D82" s="48"/>
      <c r="E82" s="50"/>
      <c r="F82" s="64"/>
      <c r="G82" s="67"/>
    </row>
    <row r="83" spans="1:7" x14ac:dyDescent="0.25">
      <c r="A83" s="43" t="s">
        <v>95</v>
      </c>
      <c r="B83" s="44" t="s">
        <v>96</v>
      </c>
      <c r="C83" s="45" t="s">
        <v>90</v>
      </c>
      <c r="D83" s="51" t="s">
        <v>97</v>
      </c>
      <c r="E83" s="46" t="s">
        <v>92</v>
      </c>
      <c r="F83" s="63">
        <v>471700</v>
      </c>
      <c r="G83" s="66">
        <f>+F83*(30/60)^0.6*(806/567)</f>
        <v>442384.45899323525</v>
      </c>
    </row>
    <row r="84" spans="1:7" x14ac:dyDescent="0.25">
      <c r="A84" s="52" t="s">
        <v>98</v>
      </c>
      <c r="B84" s="53" t="s">
        <v>99</v>
      </c>
      <c r="C84" s="48"/>
      <c r="D84" s="48"/>
      <c r="E84" s="50"/>
      <c r="F84" s="64"/>
      <c r="G84" s="67"/>
    </row>
    <row r="85" spans="1:7" ht="36" x14ac:dyDescent="0.25">
      <c r="A85" s="54" t="s">
        <v>100</v>
      </c>
      <c r="B85" s="47" t="s">
        <v>101</v>
      </c>
      <c r="C85" s="48" t="s">
        <v>91</v>
      </c>
      <c r="D85" s="48" t="s">
        <v>91</v>
      </c>
      <c r="E85" s="55" t="s">
        <v>102</v>
      </c>
      <c r="F85" s="64">
        <v>36700</v>
      </c>
      <c r="G85" s="66">
        <f>+F85*(1)^0.6*(806/567)</f>
        <v>52169.664902998236</v>
      </c>
    </row>
    <row r="86" spans="1:7" ht="24.6" thickBot="1" x14ac:dyDescent="0.3">
      <c r="A86" s="58" t="s">
        <v>103</v>
      </c>
      <c r="B86" s="59" t="s">
        <v>104</v>
      </c>
      <c r="C86" s="60"/>
      <c r="D86" s="60"/>
      <c r="E86" s="61" t="s">
        <v>102</v>
      </c>
      <c r="F86" s="65">
        <v>13200</v>
      </c>
      <c r="G86" s="68">
        <f>+F86*(1)^0.6*(806/567)</f>
        <v>18764.021164021164</v>
      </c>
    </row>
    <row r="87" spans="1:7" x14ac:dyDescent="0.25">
      <c r="G87" s="132">
        <f>SUM(G81:G86)</f>
        <v>576007.03394914349</v>
      </c>
    </row>
    <row r="88" spans="1:7" x14ac:dyDescent="0.25">
      <c r="G88" s="30">
        <f>+G87/20</f>
        <v>28800.351697457176</v>
      </c>
    </row>
  </sheetData>
  <mergeCells count="3">
    <mergeCell ref="B1:E1"/>
    <mergeCell ref="A79:E79"/>
    <mergeCell ref="G13:H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B08A-E8CD-44BE-8AAE-63D486248B4C}">
  <dimension ref="A1"/>
  <sheetViews>
    <sheetView workbookViewId="0">
      <selection activeCell="G21" sqref="G21"/>
    </sheetView>
  </sheetViews>
  <sheetFormatPr baseColWidth="10" defaultRowHeight="1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9A47-48B1-417A-A863-87860C76842D}">
  <dimension ref="A5:H19"/>
  <sheetViews>
    <sheetView topLeftCell="A3" workbookViewId="0">
      <selection activeCell="G32" sqref="G32"/>
    </sheetView>
  </sheetViews>
  <sheetFormatPr baseColWidth="10" defaultColWidth="11.5" defaultRowHeight="12" x14ac:dyDescent="0.25"/>
  <cols>
    <col min="1" max="1" width="18.125" style="72" bestFit="1" customWidth="1"/>
    <col min="2" max="2" width="13.5" style="72" bestFit="1" customWidth="1"/>
    <col min="3" max="5" width="12.875" style="72" customWidth="1"/>
    <col min="6" max="6" width="16.875" style="72" bestFit="1" customWidth="1"/>
    <col min="7" max="8" width="12.875" style="72" customWidth="1"/>
    <col min="9" max="11" width="11.5" style="72"/>
    <col min="12" max="12" width="12.375" style="72" bestFit="1" customWidth="1"/>
    <col min="13" max="16384" width="11.5" style="72"/>
  </cols>
  <sheetData>
    <row r="5" spans="1:8" ht="12.6" thickBot="1" x14ac:dyDescent="0.3"/>
    <row r="6" spans="1:8" ht="14.4" thickBot="1" x14ac:dyDescent="0.3">
      <c r="A6" s="402" t="s">
        <v>106</v>
      </c>
      <c r="B6" s="87" t="s">
        <v>107</v>
      </c>
      <c r="C6" s="88" t="s">
        <v>121</v>
      </c>
      <c r="D6" s="89" t="s">
        <v>122</v>
      </c>
      <c r="E6" s="89" t="s">
        <v>123</v>
      </c>
      <c r="F6" s="89" t="s">
        <v>124</v>
      </c>
      <c r="G6" s="89" t="s">
        <v>125</v>
      </c>
      <c r="H6" s="89" t="s">
        <v>126</v>
      </c>
    </row>
    <row r="7" spans="1:8" ht="14.4" thickBot="1" x14ac:dyDescent="0.3">
      <c r="A7" s="403"/>
      <c r="B7" s="82" t="s">
        <v>108</v>
      </c>
      <c r="C7" s="77">
        <v>7051</v>
      </c>
      <c r="D7" s="77">
        <v>25334.34</v>
      </c>
      <c r="E7" s="77">
        <v>14053</v>
      </c>
      <c r="F7" s="77">
        <v>11129</v>
      </c>
      <c r="G7" s="77">
        <v>6475.3190000000004</v>
      </c>
      <c r="H7" s="77">
        <v>3834</v>
      </c>
    </row>
    <row r="8" spans="1:8" ht="14.4" thickBot="1" x14ac:dyDescent="0.3">
      <c r="A8" s="403"/>
      <c r="B8" s="82" t="s">
        <v>109</v>
      </c>
      <c r="C8" s="77">
        <v>7403</v>
      </c>
      <c r="D8" s="79">
        <v>21591</v>
      </c>
      <c r="E8" s="79">
        <v>14614</v>
      </c>
      <c r="F8" s="79">
        <v>11764</v>
      </c>
      <c r="G8" s="79">
        <v>7139</v>
      </c>
      <c r="H8" s="79">
        <v>3506.55</v>
      </c>
    </row>
    <row r="9" spans="1:8" ht="14.4" thickBot="1" x14ac:dyDescent="0.3">
      <c r="A9" s="403"/>
      <c r="B9" s="82" t="s">
        <v>110</v>
      </c>
      <c r="C9" s="77">
        <v>18240.922999999999</v>
      </c>
      <c r="D9" s="79">
        <v>21943.11</v>
      </c>
      <c r="E9" s="79">
        <v>17161</v>
      </c>
      <c r="F9" s="79">
        <v>12160</v>
      </c>
      <c r="G9" s="79">
        <v>9381.8163999999997</v>
      </c>
      <c r="H9" s="79">
        <v>3692</v>
      </c>
    </row>
    <row r="10" spans="1:8" ht="14.4" thickBot="1" x14ac:dyDescent="0.3">
      <c r="A10" s="403"/>
      <c r="B10" s="82" t="s">
        <v>111</v>
      </c>
      <c r="C10" s="77">
        <v>18565.827000000001</v>
      </c>
      <c r="D10" s="79">
        <v>20593.97</v>
      </c>
      <c r="E10" s="79">
        <v>16147.008</v>
      </c>
      <c r="F10" s="79">
        <v>11271</v>
      </c>
      <c r="G10" s="79">
        <v>6810.7950000000001</v>
      </c>
      <c r="H10" s="79">
        <v>3522</v>
      </c>
    </row>
    <row r="11" spans="1:8" ht="14.4" thickBot="1" x14ac:dyDescent="0.3">
      <c r="A11" s="403"/>
      <c r="B11" s="82" t="s">
        <v>112</v>
      </c>
      <c r="C11" s="77">
        <v>17653.689999999999</v>
      </c>
      <c r="D11" s="78">
        <v>20234</v>
      </c>
      <c r="E11" s="79">
        <v>15836.144</v>
      </c>
      <c r="F11" s="78">
        <v>12548</v>
      </c>
      <c r="G11" s="78">
        <v>5315.2269999999999</v>
      </c>
      <c r="H11" s="78">
        <v>4092.3</v>
      </c>
    </row>
    <row r="12" spans="1:8" ht="14.4" thickBot="1" x14ac:dyDescent="0.3">
      <c r="A12" s="403"/>
      <c r="B12" s="82" t="s">
        <v>113</v>
      </c>
      <c r="C12" s="83">
        <v>15371.39</v>
      </c>
      <c r="D12" s="80">
        <v>15314.3</v>
      </c>
      <c r="E12" s="79">
        <v>15442.063</v>
      </c>
      <c r="F12" s="79">
        <v>10692</v>
      </c>
      <c r="G12" s="74">
        <v>4796</v>
      </c>
      <c r="H12" s="79">
        <v>3254.4</v>
      </c>
    </row>
    <row r="13" spans="1:8" ht="14.4" thickBot="1" x14ac:dyDescent="0.3">
      <c r="A13" s="403"/>
      <c r="B13" s="82" t="s">
        <v>114</v>
      </c>
      <c r="C13" s="84">
        <v>14873.19</v>
      </c>
      <c r="D13" s="73">
        <v>13155.33</v>
      </c>
      <c r="E13" s="79">
        <v>13069.403</v>
      </c>
      <c r="F13" s="79">
        <v>13155.33</v>
      </c>
      <c r="G13" s="74">
        <v>4488.442</v>
      </c>
      <c r="H13" s="79">
        <v>2631.58</v>
      </c>
    </row>
    <row r="14" spans="1:8" ht="14.4" thickBot="1" x14ac:dyDescent="0.3">
      <c r="A14" s="403"/>
      <c r="B14" s="82" t="s">
        <v>115</v>
      </c>
      <c r="C14" s="85">
        <v>13357.5</v>
      </c>
      <c r="D14" s="75">
        <v>11698.32</v>
      </c>
      <c r="E14" s="79">
        <v>14448.931</v>
      </c>
      <c r="F14" s="75">
        <v>9452</v>
      </c>
      <c r="G14" s="75">
        <v>5487</v>
      </c>
      <c r="H14" s="79">
        <v>2638</v>
      </c>
    </row>
    <row r="15" spans="1:8" ht="14.4" thickBot="1" x14ac:dyDescent="0.3">
      <c r="A15" s="403"/>
      <c r="B15" s="82" t="s">
        <v>116</v>
      </c>
      <c r="C15" s="86">
        <f>+AVERAGE(C14,C16)</f>
        <v>13283.584999999999</v>
      </c>
      <c r="D15" s="74">
        <v>23873.83</v>
      </c>
      <c r="E15" s="74">
        <v>15064.475</v>
      </c>
      <c r="F15" s="74">
        <v>9790</v>
      </c>
      <c r="G15" s="74">
        <v>5431.2979999999998</v>
      </c>
      <c r="H15" s="74">
        <v>2484.4</v>
      </c>
    </row>
    <row r="16" spans="1:8" ht="14.4" thickBot="1" x14ac:dyDescent="0.3">
      <c r="A16" s="403"/>
      <c r="B16" s="82" t="s">
        <v>117</v>
      </c>
      <c r="C16" s="83">
        <v>13209.67</v>
      </c>
      <c r="D16" s="81">
        <v>15824.07</v>
      </c>
      <c r="E16" s="79">
        <v>14683</v>
      </c>
      <c r="F16" s="74">
        <v>9075</v>
      </c>
      <c r="G16" s="74">
        <v>6556.4740000000002</v>
      </c>
      <c r="H16" s="79">
        <v>2368</v>
      </c>
    </row>
    <row r="17" spans="1:8" ht="14.4" thickBot="1" x14ac:dyDescent="0.3">
      <c r="A17" s="403"/>
      <c r="B17" s="82" t="s">
        <v>118</v>
      </c>
      <c r="C17" s="83">
        <v>18352.28</v>
      </c>
      <c r="D17" s="81">
        <v>6323.92</v>
      </c>
      <c r="E17" s="81">
        <v>13677</v>
      </c>
      <c r="F17" s="81">
        <v>9992</v>
      </c>
      <c r="G17" s="81">
        <v>6451.6</v>
      </c>
      <c r="H17" s="81">
        <v>2927.74</v>
      </c>
    </row>
    <row r="18" spans="1:8" ht="14.4" thickBot="1" x14ac:dyDescent="0.3">
      <c r="A18" s="403"/>
      <c r="B18" s="90" t="s">
        <v>119</v>
      </c>
      <c r="C18" s="91">
        <v>16130</v>
      </c>
      <c r="D18" s="92">
        <v>10321</v>
      </c>
      <c r="E18" s="92">
        <v>13393</v>
      </c>
      <c r="F18" s="92">
        <v>10881</v>
      </c>
      <c r="G18" s="92">
        <v>5201.3900000000003</v>
      </c>
      <c r="H18" s="92">
        <v>3669</v>
      </c>
    </row>
    <row r="19" spans="1:8" ht="14.4" thickBot="1" x14ac:dyDescent="0.3">
      <c r="A19" s="403"/>
      <c r="B19" s="76" t="s">
        <v>120</v>
      </c>
      <c r="C19" s="93">
        <v>153157.47</v>
      </c>
      <c r="D19" s="94">
        <v>206207.19000000003</v>
      </c>
      <c r="E19" s="94">
        <v>177589.024</v>
      </c>
      <c r="F19" s="94">
        <v>131909.33000000002</v>
      </c>
      <c r="G19" s="94">
        <v>73534.361400000009</v>
      </c>
      <c r="H19" s="94">
        <v>38619.97</v>
      </c>
    </row>
  </sheetData>
  <mergeCells count="1">
    <mergeCell ref="A6:A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7CEE-7A99-43F4-94AC-23F567E41A70}">
  <dimension ref="N2:BS47"/>
  <sheetViews>
    <sheetView topLeftCell="I1" zoomScale="25" zoomScaleNormal="25" workbookViewId="0">
      <selection activeCell="AR35" sqref="AR35"/>
    </sheetView>
  </sheetViews>
  <sheetFormatPr baseColWidth="10" defaultRowHeight="12" x14ac:dyDescent="0.25"/>
  <cols>
    <col min="60" max="60" width="12.375" bestFit="1" customWidth="1"/>
    <col min="61" max="61" width="21.875" bestFit="1" customWidth="1"/>
    <col min="62" max="62" width="23" bestFit="1" customWidth="1"/>
    <col min="63" max="63" width="17.125" bestFit="1" customWidth="1"/>
    <col min="64" max="64" width="21.625" bestFit="1" customWidth="1"/>
    <col min="65" max="65" width="20.5" bestFit="1" customWidth="1"/>
    <col min="66" max="67" width="22.375" bestFit="1" customWidth="1"/>
    <col min="68" max="68" width="34.625" bestFit="1" customWidth="1"/>
    <col min="69" max="69" width="35.5" customWidth="1"/>
    <col min="70" max="70" width="30.875" bestFit="1" customWidth="1"/>
    <col min="71" max="71" width="10" bestFit="1" customWidth="1"/>
  </cols>
  <sheetData>
    <row r="2" spans="60:71" x14ac:dyDescent="0.25">
      <c r="BI2" t="s">
        <v>400</v>
      </c>
      <c r="BJ2" t="s">
        <v>401</v>
      </c>
    </row>
    <row r="3" spans="60:71" x14ac:dyDescent="0.25">
      <c r="BI3" t="s">
        <v>399</v>
      </c>
      <c r="BJ3">
        <v>1482.68</v>
      </c>
      <c r="BK3" t="s">
        <v>402</v>
      </c>
    </row>
    <row r="4" spans="60:71" x14ac:dyDescent="0.25">
      <c r="BI4" t="s">
        <v>411</v>
      </c>
    </row>
    <row r="12" spans="60:71" x14ac:dyDescent="0.25">
      <c r="BN12" t="s">
        <v>393</v>
      </c>
    </row>
    <row r="13" spans="60:71" x14ac:dyDescent="0.25">
      <c r="BH13" s="173" t="s">
        <v>286</v>
      </c>
      <c r="BI13" s="174" t="s">
        <v>128</v>
      </c>
      <c r="BJ13" s="173" t="s">
        <v>287</v>
      </c>
      <c r="BK13" s="173" t="s">
        <v>290</v>
      </c>
      <c r="BL13" s="173" t="s">
        <v>291</v>
      </c>
      <c r="BM13" s="173" t="s">
        <v>132</v>
      </c>
      <c r="BN13" s="173" t="s">
        <v>289</v>
      </c>
      <c r="BO13" s="173" t="s">
        <v>288</v>
      </c>
      <c r="BP13" s="173" t="s">
        <v>202</v>
      </c>
    </row>
    <row r="14" spans="60:71" ht="12.6" thickBot="1" x14ac:dyDescent="0.3">
      <c r="BH14" s="118"/>
      <c r="BI14" s="172"/>
      <c r="BJ14" s="107"/>
      <c r="BK14" s="107"/>
      <c r="BL14" s="107"/>
      <c r="BM14" s="107"/>
      <c r="BN14" s="107"/>
      <c r="BO14" s="108"/>
      <c r="BP14" s="107"/>
    </row>
    <row r="15" spans="60:71" x14ac:dyDescent="0.25">
      <c r="BH15" s="113">
        <v>1</v>
      </c>
      <c r="BI15" s="171" t="s">
        <v>399</v>
      </c>
      <c r="BJ15" s="115" t="s">
        <v>406</v>
      </c>
      <c r="BK15" s="115">
        <v>25</v>
      </c>
      <c r="BL15" s="115" t="s">
        <v>186</v>
      </c>
      <c r="BM15" s="115">
        <f>+BJ3</f>
        <v>1482.68</v>
      </c>
      <c r="BN15" s="115">
        <v>30000</v>
      </c>
      <c r="BO15" s="116"/>
      <c r="BP15" s="189"/>
      <c r="BQ15" t="s">
        <v>393</v>
      </c>
      <c r="BR15" t="s">
        <v>403</v>
      </c>
      <c r="BS15" t="s">
        <v>395</v>
      </c>
    </row>
    <row r="16" spans="60:71" x14ac:dyDescent="0.25">
      <c r="BH16" s="118"/>
      <c r="BI16" s="172"/>
      <c r="BJ16" s="107"/>
      <c r="BK16" s="107"/>
      <c r="BL16" s="107"/>
      <c r="BM16" s="107"/>
      <c r="BN16" s="107"/>
      <c r="BO16" s="108"/>
      <c r="BP16" s="107"/>
    </row>
    <row r="17" spans="14:68" x14ac:dyDescent="0.25">
      <c r="BH17" s="118">
        <v>2</v>
      </c>
      <c r="BI17" s="172" t="s">
        <v>404</v>
      </c>
      <c r="BJ17" s="107" t="s">
        <v>406</v>
      </c>
      <c r="BK17" s="107">
        <v>95</v>
      </c>
      <c r="BL17" s="107">
        <v>0.4</v>
      </c>
      <c r="BM17" s="107">
        <v>2738.6</v>
      </c>
      <c r="BN17" s="108">
        <f>(100-+_xlfn.XLOOKUP(BN12,EE_PB!D15:I15,EE_PB!D24:I24))*BN15/100</f>
        <v>26461.424735941291</v>
      </c>
      <c r="BO17" s="108"/>
      <c r="BP17" s="107"/>
    </row>
    <row r="18" spans="14:68" x14ac:dyDescent="0.25">
      <c r="BH18" s="118">
        <v>3</v>
      </c>
      <c r="BI18" s="172" t="s">
        <v>405</v>
      </c>
      <c r="BJ18" s="107" t="s">
        <v>407</v>
      </c>
      <c r="BK18" s="107">
        <v>85</v>
      </c>
      <c r="BL18" s="107"/>
      <c r="BM18" s="107">
        <v>4.1189999999999998</v>
      </c>
      <c r="BN18" s="107">
        <f>+_xlfn.XLOOKUP(BN12,EE_PB!D15:I15,EE_PB!D25:I25)</f>
        <v>4170</v>
      </c>
      <c r="BO18" s="108">
        <f>+Tabla4[[#This Row],[Flujo Masico2]]*Tabla4[[#This Row],[Enthalpy 
(kJ/kg)]]/3600*(Tabla4[[#This Row],[Temperatura]]-BK15)</f>
        <v>286.27049999999997</v>
      </c>
      <c r="BP18" s="107"/>
    </row>
    <row r="19" spans="14:68" x14ac:dyDescent="0.25">
      <c r="BH19" s="175">
        <v>4</v>
      </c>
      <c r="BI19" s="176" t="s">
        <v>177</v>
      </c>
      <c r="BJ19" s="107" t="s">
        <v>408</v>
      </c>
      <c r="BK19" s="107">
        <v>110</v>
      </c>
      <c r="BL19" s="107" t="s">
        <v>409</v>
      </c>
      <c r="BM19" s="107"/>
      <c r="BN19" s="108">
        <f>+BN15+BN20-BN18-BN17</f>
        <v>5739.5592792066673</v>
      </c>
      <c r="BO19" s="108"/>
      <c r="BP19" s="107"/>
    </row>
    <row r="20" spans="14:68" x14ac:dyDescent="0.25">
      <c r="BH20" s="118">
        <v>5</v>
      </c>
      <c r="BI20" s="106" t="s">
        <v>140</v>
      </c>
      <c r="BJ20" s="107" t="s">
        <v>408</v>
      </c>
      <c r="BK20" s="107">
        <v>120</v>
      </c>
      <c r="BL20" s="107">
        <v>0.4</v>
      </c>
      <c r="BM20" s="107">
        <v>2738.6</v>
      </c>
      <c r="BN20" s="108">
        <f>+_xlfn.XLOOKUP(BN12,EE_PB!D15:I15,EE_PB!D23:I23)</f>
        <v>6370.9840151479584</v>
      </c>
      <c r="BO20" s="108">
        <f>+Tabla4[[#This Row],[Flujo Masico2]]*Tabla4[[#This Row],[Enthalpy 
(kJ/kg)]]/3600</f>
        <v>4846.5491177456106</v>
      </c>
      <c r="BP20" s="107"/>
    </row>
    <row r="21" spans="14:68" x14ac:dyDescent="0.25">
      <c r="BH21" s="118"/>
      <c r="BI21" s="172"/>
      <c r="BJ21" s="107"/>
      <c r="BK21" s="107"/>
      <c r="BL21" s="107"/>
      <c r="BM21" s="107"/>
      <c r="BN21" s="108"/>
      <c r="BO21" s="108"/>
      <c r="BP21" s="107"/>
    </row>
    <row r="22" spans="14:68" x14ac:dyDescent="0.25">
      <c r="BH22" s="118">
        <v>6</v>
      </c>
      <c r="BI22" s="106" t="s">
        <v>141</v>
      </c>
      <c r="BJ22" s="107" t="s">
        <v>410</v>
      </c>
      <c r="BK22" s="107"/>
      <c r="BL22" s="107"/>
      <c r="BM22" s="107"/>
      <c r="BN22" s="108">
        <f>+_xlfn.XLOOKUP(BN12,EE_PB!D15:I15,EE_PB!D32:I32)*BN15/100</f>
        <v>19171.424735941295</v>
      </c>
      <c r="BO22" s="108"/>
      <c r="BP22" s="107"/>
    </row>
    <row r="23" spans="14:68" x14ac:dyDescent="0.25">
      <c r="BH23" s="118">
        <v>7</v>
      </c>
      <c r="BI23" s="106" t="s">
        <v>142</v>
      </c>
      <c r="BJ23" s="107" t="s">
        <v>180</v>
      </c>
      <c r="BK23" s="107"/>
      <c r="BL23" s="107"/>
      <c r="BM23" s="107"/>
      <c r="BN23" s="108">
        <f>+_xlfn.XLOOKUP(BN12,EE_PB!D15:I15,EE_PB!D27:I27)*BN15/100</f>
        <v>0</v>
      </c>
      <c r="BO23" s="108"/>
      <c r="BP23" s="107"/>
    </row>
    <row r="24" spans="14:68" x14ac:dyDescent="0.25">
      <c r="BH24" s="118"/>
      <c r="BI24" s="172"/>
      <c r="BJ24" s="107"/>
      <c r="BK24" s="107"/>
      <c r="BL24" s="107"/>
      <c r="BM24" s="107"/>
      <c r="BN24" s="108"/>
      <c r="BO24" s="108"/>
      <c r="BP24" s="107"/>
    </row>
    <row r="25" spans="14:68" x14ac:dyDescent="0.25">
      <c r="BH25" s="118">
        <v>8</v>
      </c>
      <c r="BI25" s="106" t="s">
        <v>35</v>
      </c>
      <c r="BJ25" s="107" t="s">
        <v>182</v>
      </c>
      <c r="BK25" s="107"/>
      <c r="BL25" s="107"/>
      <c r="BM25" s="107"/>
      <c r="BN25" s="108">
        <f>+_xlfn.XLOOKUP(BN12,EE_PB!D15:I15,EE_PB!D31:I31)*BN15/100</f>
        <v>7290</v>
      </c>
      <c r="BO25" s="108"/>
      <c r="BP25" s="107"/>
    </row>
    <row r="26" spans="14:68" x14ac:dyDescent="0.25">
      <c r="BH26" s="118">
        <v>9</v>
      </c>
      <c r="BI26" s="106" t="s">
        <v>143</v>
      </c>
      <c r="BJ26" s="107" t="s">
        <v>179</v>
      </c>
      <c r="BK26" s="107"/>
      <c r="BL26" s="107"/>
      <c r="BM26" s="107"/>
      <c r="BN26" s="108">
        <f>+_xlfn.XLOOKUP(BN12,EE_PB!D15:I15,EE_PB!D30:I30)</f>
        <v>340.2</v>
      </c>
      <c r="BO26" s="108"/>
      <c r="BP26" s="107" t="s">
        <v>414</v>
      </c>
    </row>
    <row r="27" spans="14:68" x14ac:dyDescent="0.25">
      <c r="BH27" s="118"/>
      <c r="BI27" s="172"/>
      <c r="BJ27" s="107"/>
      <c r="BK27" s="107"/>
      <c r="BL27" s="107"/>
      <c r="BM27" s="107"/>
      <c r="BN27" s="108"/>
      <c r="BO27" s="108"/>
      <c r="BP27" s="107"/>
    </row>
    <row r="28" spans="14:68" x14ac:dyDescent="0.25">
      <c r="N28" s="177"/>
      <c r="BH28" s="118">
        <v>10</v>
      </c>
      <c r="BI28" s="106" t="s">
        <v>144</v>
      </c>
      <c r="BJ28" s="107" t="s">
        <v>179</v>
      </c>
      <c r="BK28" s="107"/>
      <c r="BL28" s="107"/>
      <c r="BM28" s="107"/>
      <c r="BN28" s="108">
        <f>+_xlfn.XLOOKUP(MyE_LB!BN12,EE_PB!D15:I15,EE_PB!D35:I35)</f>
        <v>11865.671254270062</v>
      </c>
      <c r="BO28" s="108"/>
      <c r="BP28" s="107"/>
    </row>
    <row r="29" spans="14:68" x14ac:dyDescent="0.25">
      <c r="BH29" s="118">
        <v>11</v>
      </c>
      <c r="BI29" s="106" t="s">
        <v>145</v>
      </c>
      <c r="BJ29" s="107" t="s">
        <v>180</v>
      </c>
      <c r="BK29" s="107"/>
      <c r="BL29" s="107"/>
      <c r="BM29" s="107"/>
      <c r="BN29" s="108">
        <f>+_xlfn.XLOOKUP(BN12,EE_PB!D15:I15,EE_PB!D39:I39)</f>
        <v>6835.720078089802</v>
      </c>
      <c r="BO29" s="108"/>
      <c r="BP29" s="107"/>
    </row>
    <row r="30" spans="14:68" x14ac:dyDescent="0.25">
      <c r="BH30" s="118">
        <v>12</v>
      </c>
      <c r="BI30" s="106" t="s">
        <v>140</v>
      </c>
      <c r="BJ30" s="107" t="s">
        <v>178</v>
      </c>
      <c r="BK30" s="107"/>
      <c r="BL30" s="107">
        <v>0.4</v>
      </c>
      <c r="BM30" s="107">
        <v>2738.6</v>
      </c>
      <c r="BN30" s="108">
        <f>+_xlfn.XLOOKUP(BN12,EE_PB!D15:I15,EE_PB!D34:I34)</f>
        <v>2831.7986713246455</v>
      </c>
      <c r="BO30" s="108" t="e">
        <f>+BM30*#REF!/3600</f>
        <v>#REF!</v>
      </c>
      <c r="BP30" s="107"/>
    </row>
    <row r="31" spans="14:68" x14ac:dyDescent="0.25">
      <c r="BH31" s="118">
        <v>13</v>
      </c>
      <c r="BI31" s="106" t="s">
        <v>417</v>
      </c>
      <c r="BJ31" s="107" t="s">
        <v>183</v>
      </c>
      <c r="BK31" s="107"/>
      <c r="BL31" s="107"/>
      <c r="BM31" s="107"/>
      <c r="BN31" s="108">
        <f>+_xlfn.XLOOKUP(BN12,EE_PB!D15:I15,EE_PB!D40:I40)</f>
        <v>4511.7874131331309</v>
      </c>
      <c r="BO31" s="108"/>
      <c r="BP31" s="107"/>
    </row>
    <row r="32" spans="14:68" x14ac:dyDescent="0.25">
      <c r="BH32" s="118"/>
      <c r="BI32" s="172"/>
      <c r="BJ32" s="107"/>
      <c r="BK32" s="107"/>
      <c r="BL32" s="107"/>
      <c r="BM32" s="107"/>
      <c r="BN32" s="107"/>
      <c r="BO32" s="108"/>
      <c r="BP32" s="107"/>
    </row>
    <row r="33" spans="56:68" x14ac:dyDescent="0.25">
      <c r="BH33" s="118">
        <v>15</v>
      </c>
      <c r="BI33" s="106" t="s">
        <v>153</v>
      </c>
      <c r="BJ33" s="107" t="s">
        <v>179</v>
      </c>
      <c r="BK33" s="107"/>
      <c r="BL33" s="107"/>
      <c r="BM33" s="107"/>
      <c r="BN33" s="108">
        <f>+_xlfn.XLOOKUP(BN12,EE_PB!D15:I15,EE_PB!D51:I51)</f>
        <v>12190.921362742969</v>
      </c>
      <c r="BO33" s="108"/>
      <c r="BP33" s="107"/>
    </row>
    <row r="34" spans="56:68" x14ac:dyDescent="0.25">
      <c r="BH34" s="118">
        <v>16</v>
      </c>
      <c r="BI34" s="106" t="s">
        <v>148</v>
      </c>
      <c r="BJ34" s="107" t="s">
        <v>178</v>
      </c>
      <c r="BK34" s="107"/>
      <c r="BL34" s="107">
        <v>0.4</v>
      </c>
      <c r="BM34" s="107">
        <v>2738.6</v>
      </c>
      <c r="BN34" s="107">
        <f>+_xlfn.XLOOKUP(BN12,EE_PB!D15:I15,EE_PB!D50:I50)</f>
        <v>700.7</v>
      </c>
      <c r="BO34" s="108" t="e">
        <f>+BM34*#REF!/3600</f>
        <v>#REF!</v>
      </c>
      <c r="BP34" s="107" t="s">
        <v>14</v>
      </c>
    </row>
    <row r="35" spans="56:68" x14ac:dyDescent="0.25">
      <c r="BH35" s="118">
        <v>17</v>
      </c>
      <c r="BI35" s="106" t="s">
        <v>140</v>
      </c>
      <c r="BJ35" s="107" t="s">
        <v>178</v>
      </c>
      <c r="BK35" s="107"/>
      <c r="BL35" s="107">
        <v>0.4</v>
      </c>
      <c r="BM35" s="107">
        <v>2738.6</v>
      </c>
      <c r="BN35" s="107"/>
      <c r="BO35" s="108" t="e">
        <f>+BM35*#REF!/3600</f>
        <v>#REF!</v>
      </c>
      <c r="BP35" s="107"/>
    </row>
    <row r="36" spans="56:68" x14ac:dyDescent="0.25">
      <c r="BD36" t="s">
        <v>14</v>
      </c>
      <c r="BH36" s="118">
        <v>18</v>
      </c>
      <c r="BI36" s="106" t="s">
        <v>146</v>
      </c>
      <c r="BJ36" s="107" t="s">
        <v>183</v>
      </c>
      <c r="BK36" s="107"/>
      <c r="BL36" s="107"/>
      <c r="BM36" s="107"/>
      <c r="BN36" s="107"/>
      <c r="BO36" s="108"/>
      <c r="BP36" s="107"/>
    </row>
    <row r="37" spans="56:68" x14ac:dyDescent="0.25">
      <c r="BH37" s="118">
        <v>19</v>
      </c>
      <c r="BI37" s="106" t="s">
        <v>149</v>
      </c>
      <c r="BJ37" s="107" t="s">
        <v>179</v>
      </c>
      <c r="BK37" s="107"/>
      <c r="BL37" s="107"/>
      <c r="BM37" s="107"/>
      <c r="BN37" s="107"/>
      <c r="BO37" s="108"/>
      <c r="BP37" s="107"/>
    </row>
    <row r="38" spans="56:68" x14ac:dyDescent="0.25">
      <c r="BH38" s="118">
        <v>20</v>
      </c>
      <c r="BI38" s="106" t="s">
        <v>23</v>
      </c>
      <c r="BJ38" s="107" t="s">
        <v>181</v>
      </c>
      <c r="BK38" s="107"/>
      <c r="BL38" s="107"/>
      <c r="BM38" s="107"/>
      <c r="BN38" s="107"/>
      <c r="BO38" s="108"/>
      <c r="BP38" s="107"/>
    </row>
    <row r="39" spans="56:68" x14ac:dyDescent="0.25">
      <c r="BH39" s="118">
        <v>21</v>
      </c>
      <c r="BI39" s="106" t="s">
        <v>150</v>
      </c>
      <c r="BJ39" s="107" t="s">
        <v>180</v>
      </c>
      <c r="BK39" s="107"/>
      <c r="BL39" s="107"/>
      <c r="BM39" s="107"/>
      <c r="BN39" s="108"/>
      <c r="BO39" s="108"/>
      <c r="BP39" s="107"/>
    </row>
    <row r="40" spans="56:68" x14ac:dyDescent="0.25">
      <c r="BH40" s="118">
        <v>22</v>
      </c>
      <c r="BI40" s="106" t="s">
        <v>151</v>
      </c>
      <c r="BJ40" s="107" t="s">
        <v>180</v>
      </c>
      <c r="BK40" s="107"/>
      <c r="BL40" s="107"/>
      <c r="BM40" s="107"/>
      <c r="BN40" s="108"/>
      <c r="BO40" s="108"/>
      <c r="BP40" s="107"/>
    </row>
    <row r="41" spans="56:68" x14ac:dyDescent="0.25">
      <c r="BH41" s="118">
        <v>23</v>
      </c>
      <c r="BI41" s="106" t="s">
        <v>24</v>
      </c>
      <c r="BJ41" s="107" t="s">
        <v>180</v>
      </c>
      <c r="BK41" s="107"/>
      <c r="BL41" s="107"/>
      <c r="BM41" s="107"/>
      <c r="BN41" s="107"/>
      <c r="BO41" s="108"/>
      <c r="BP41" s="107"/>
    </row>
    <row r="42" spans="56:68" x14ac:dyDescent="0.25">
      <c r="BH42" s="118">
        <v>24</v>
      </c>
      <c r="BI42" s="106" t="s">
        <v>140</v>
      </c>
      <c r="BJ42" s="107" t="s">
        <v>178</v>
      </c>
      <c r="BK42" s="107"/>
      <c r="BL42" s="107">
        <v>0.4</v>
      </c>
      <c r="BM42" s="107">
        <v>2738.6</v>
      </c>
      <c r="BN42" s="107"/>
      <c r="BO42" s="108" t="e">
        <f>+BM42*#REF!/3600</f>
        <v>#REF!</v>
      </c>
      <c r="BP42" s="107"/>
    </row>
    <row r="43" spans="56:68" x14ac:dyDescent="0.25">
      <c r="BH43" s="118">
        <v>25</v>
      </c>
      <c r="BI43" s="106" t="s">
        <v>140</v>
      </c>
      <c r="BJ43" s="107" t="s">
        <v>178</v>
      </c>
      <c r="BK43" s="107"/>
      <c r="BL43" s="107">
        <v>0.4</v>
      </c>
      <c r="BM43" s="107">
        <v>2738.6</v>
      </c>
      <c r="BN43" s="107"/>
      <c r="BO43" s="108" t="e">
        <f>+BM43*#REF!/3600</f>
        <v>#REF!</v>
      </c>
      <c r="BP43" s="107"/>
    </row>
    <row r="44" spans="56:68" x14ac:dyDescent="0.25">
      <c r="BH44" s="118">
        <v>26</v>
      </c>
      <c r="BI44" s="106" t="s">
        <v>146</v>
      </c>
      <c r="BJ44" s="107" t="s">
        <v>183</v>
      </c>
      <c r="BK44" s="107"/>
      <c r="BL44" s="107" t="s">
        <v>186</v>
      </c>
      <c r="BM44" s="107"/>
      <c r="BN44" s="107"/>
      <c r="BO44" s="108"/>
      <c r="BP44" s="107"/>
    </row>
    <row r="45" spans="56:68" x14ac:dyDescent="0.25">
      <c r="BH45" s="118">
        <v>27</v>
      </c>
      <c r="BI45" s="106" t="s">
        <v>146</v>
      </c>
      <c r="BJ45" s="107" t="s">
        <v>183</v>
      </c>
      <c r="BK45" s="107"/>
      <c r="BL45" s="107" t="s">
        <v>186</v>
      </c>
      <c r="BM45" s="107"/>
      <c r="BN45" s="107"/>
      <c r="BO45" s="108"/>
      <c r="BP45" s="107"/>
    </row>
    <row r="46" spans="56:68" x14ac:dyDescent="0.25">
      <c r="BH46" s="118">
        <v>28</v>
      </c>
      <c r="BI46" s="106" t="s">
        <v>146</v>
      </c>
      <c r="BJ46" s="107" t="s">
        <v>183</v>
      </c>
      <c r="BK46" s="107"/>
      <c r="BL46" s="107" t="s">
        <v>186</v>
      </c>
      <c r="BM46" s="107"/>
      <c r="BN46" s="107"/>
      <c r="BO46" s="108"/>
      <c r="BP46" s="107"/>
    </row>
    <row r="47" spans="56:68" ht="12.6" thickBot="1" x14ac:dyDescent="0.3">
      <c r="BH47" s="121">
        <v>29</v>
      </c>
      <c r="BI47" s="122" t="s">
        <v>152</v>
      </c>
      <c r="BJ47" s="123" t="s">
        <v>179</v>
      </c>
      <c r="BK47" s="123"/>
      <c r="BL47" s="123" t="s">
        <v>186</v>
      </c>
      <c r="BM47" s="123"/>
      <c r="BN47" s="124"/>
      <c r="BO47" s="124"/>
      <c r="BP47" s="190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57AE-6C9A-4857-BAC0-A5E814EA47DB}">
  <dimension ref="A1:X72"/>
  <sheetViews>
    <sheetView topLeftCell="B1" zoomScaleNormal="100" workbookViewId="0">
      <selection activeCell="C3" sqref="C3:H3"/>
    </sheetView>
  </sheetViews>
  <sheetFormatPr baseColWidth="10" defaultRowHeight="12" x14ac:dyDescent="0.25"/>
  <cols>
    <col min="1" max="1" width="32.5" bestFit="1" customWidth="1"/>
    <col min="2" max="2" width="12.5" bestFit="1" customWidth="1"/>
    <col min="11" max="11" width="20.5" customWidth="1"/>
  </cols>
  <sheetData>
    <row r="1" spans="1:24" ht="12.6" thickBot="1" x14ac:dyDescent="0.3">
      <c r="A1" s="404" t="s">
        <v>464</v>
      </c>
      <c r="B1" s="404" t="s">
        <v>293</v>
      </c>
      <c r="C1" s="406" t="s">
        <v>294</v>
      </c>
      <c r="D1" s="407"/>
      <c r="E1" s="407"/>
      <c r="F1" s="407"/>
      <c r="G1" s="407"/>
      <c r="H1" s="408"/>
    </row>
    <row r="2" spans="1:24" ht="12.6" thickBot="1" x14ac:dyDescent="0.3">
      <c r="A2" s="405"/>
      <c r="B2" s="405"/>
      <c r="C2" s="217" t="s">
        <v>393</v>
      </c>
      <c r="D2" s="217" t="s">
        <v>394</v>
      </c>
      <c r="E2" s="217" t="s">
        <v>395</v>
      </c>
      <c r="F2" s="217" t="s">
        <v>396</v>
      </c>
      <c r="G2" s="217" t="s">
        <v>397</v>
      </c>
      <c r="H2" s="217" t="s">
        <v>398</v>
      </c>
    </row>
    <row r="3" spans="1:24" ht="29.4" thickBot="1" x14ac:dyDescent="0.3">
      <c r="A3" s="191" t="s">
        <v>323</v>
      </c>
      <c r="B3" s="192" t="s">
        <v>421</v>
      </c>
      <c r="C3" s="193">
        <v>30</v>
      </c>
      <c r="D3" s="193">
        <v>40</v>
      </c>
      <c r="E3" s="193">
        <v>30</v>
      </c>
      <c r="F3" s="193">
        <v>24</v>
      </c>
      <c r="G3" s="193">
        <v>24</v>
      </c>
      <c r="H3" s="193">
        <v>20</v>
      </c>
      <c r="L3" s="283" t="s">
        <v>613</v>
      </c>
      <c r="M3" s="283" t="s">
        <v>614</v>
      </c>
      <c r="N3" s="283" t="s">
        <v>615</v>
      </c>
      <c r="O3" s="283" t="s">
        <v>616</v>
      </c>
      <c r="S3" s="217" t="s">
        <v>393</v>
      </c>
      <c r="T3" s="217" t="s">
        <v>394</v>
      </c>
      <c r="U3" s="217" t="s">
        <v>395</v>
      </c>
      <c r="V3" s="217" t="s">
        <v>396</v>
      </c>
      <c r="W3" s="217" t="s">
        <v>397</v>
      </c>
      <c r="X3" s="217" t="s">
        <v>398</v>
      </c>
    </row>
    <row r="4" spans="1:24" ht="15" thickBot="1" x14ac:dyDescent="0.3">
      <c r="A4" s="191" t="s">
        <v>325</v>
      </c>
      <c r="B4" s="192" t="s">
        <v>422</v>
      </c>
      <c r="C4" s="193">
        <v>153157</v>
      </c>
      <c r="D4" s="193">
        <v>206207</v>
      </c>
      <c r="E4" s="193">
        <v>177589</v>
      </c>
      <c r="F4" s="193">
        <v>131909</v>
      </c>
      <c r="G4" s="193">
        <v>75534</v>
      </c>
      <c r="H4" s="193">
        <v>38620</v>
      </c>
      <c r="K4" s="217" t="s">
        <v>393</v>
      </c>
      <c r="L4" s="285">
        <v>0</v>
      </c>
      <c r="M4" s="285">
        <v>0</v>
      </c>
      <c r="N4" s="285">
        <v>904.8045926919209</v>
      </c>
      <c r="O4" s="285">
        <v>0</v>
      </c>
      <c r="P4" s="10">
        <f>SUM(L4:O4)</f>
        <v>904.8045926919209</v>
      </c>
      <c r="R4" s="283" t="s">
        <v>613</v>
      </c>
      <c r="S4" s="284">
        <v>383.80493427717477</v>
      </c>
      <c r="T4" s="285">
        <v>0</v>
      </c>
      <c r="U4" s="285">
        <v>0</v>
      </c>
      <c r="V4" s="285">
        <v>0</v>
      </c>
      <c r="W4" s="285">
        <v>0</v>
      </c>
      <c r="X4" s="284">
        <v>0</v>
      </c>
    </row>
    <row r="5" spans="1:24" ht="15" thickBot="1" x14ac:dyDescent="0.3">
      <c r="A5" s="191" t="s">
        <v>327</v>
      </c>
      <c r="B5" s="192" t="s">
        <v>423</v>
      </c>
      <c r="C5" s="193">
        <v>5105</v>
      </c>
      <c r="D5" s="193">
        <v>5155</v>
      </c>
      <c r="E5" s="193">
        <v>5920</v>
      </c>
      <c r="F5" s="193">
        <v>5496</v>
      </c>
      <c r="G5" s="193">
        <v>3147</v>
      </c>
      <c r="H5" s="193">
        <v>1931</v>
      </c>
      <c r="K5" s="217" t="s">
        <v>394</v>
      </c>
      <c r="L5" s="284">
        <v>383.80493427717477</v>
      </c>
      <c r="M5" s="284">
        <v>0</v>
      </c>
      <c r="N5" s="284">
        <v>95.902724351109015</v>
      </c>
      <c r="O5" s="284">
        <v>5.3360140003146137</v>
      </c>
      <c r="P5" s="10">
        <f t="shared" ref="P5:P9" si="0">SUM(L5:O5)</f>
        <v>485.04367262859836</v>
      </c>
      <c r="R5" s="283" t="s">
        <v>614</v>
      </c>
      <c r="S5" s="284">
        <v>0</v>
      </c>
      <c r="T5" s="285">
        <v>0</v>
      </c>
      <c r="U5" s="285">
        <v>0</v>
      </c>
      <c r="V5" s="285">
        <v>553</v>
      </c>
      <c r="W5" s="285">
        <v>0</v>
      </c>
      <c r="X5" s="284">
        <v>0</v>
      </c>
    </row>
    <row r="6" spans="1:24" ht="29.4" thickBot="1" x14ac:dyDescent="0.3">
      <c r="A6" s="191" t="s">
        <v>329</v>
      </c>
      <c r="B6" s="192" t="s">
        <v>424</v>
      </c>
      <c r="C6" s="193">
        <v>20.71</v>
      </c>
      <c r="D6" s="193">
        <v>20.55</v>
      </c>
      <c r="E6" s="193">
        <v>19.68</v>
      </c>
      <c r="F6" s="193">
        <v>19.899999999999999</v>
      </c>
      <c r="G6" s="193">
        <v>20.77</v>
      </c>
      <c r="H6" s="193">
        <v>19.3</v>
      </c>
      <c r="K6" s="217" t="s">
        <v>395</v>
      </c>
      <c r="L6" s="285">
        <v>0</v>
      </c>
      <c r="M6" s="285">
        <v>0</v>
      </c>
      <c r="N6" s="285">
        <v>356.54428487804876</v>
      </c>
      <c r="O6" s="285">
        <v>56.122711508581752</v>
      </c>
      <c r="P6" s="10">
        <f t="shared" si="0"/>
        <v>412.6669963866305</v>
      </c>
      <c r="R6" s="283" t="s">
        <v>615</v>
      </c>
      <c r="S6" s="284">
        <v>95.902724351109015</v>
      </c>
      <c r="T6" s="285">
        <v>904.8045926919209</v>
      </c>
      <c r="U6" s="285">
        <v>356.54428487804876</v>
      </c>
      <c r="V6" s="285">
        <v>158</v>
      </c>
      <c r="W6" s="285">
        <v>384.12662207357857</v>
      </c>
      <c r="X6" s="284">
        <v>455.84202198731504</v>
      </c>
    </row>
    <row r="7" spans="1:24" ht="15" thickBot="1" x14ac:dyDescent="0.3">
      <c r="A7" s="191" t="s">
        <v>331</v>
      </c>
      <c r="B7" s="192" t="s">
        <v>425</v>
      </c>
      <c r="C7" s="193">
        <v>31719</v>
      </c>
      <c r="D7" s="193">
        <v>42376</v>
      </c>
      <c r="E7" s="193">
        <v>34950</v>
      </c>
      <c r="F7" s="193">
        <v>26250</v>
      </c>
      <c r="G7" s="193">
        <v>15688</v>
      </c>
      <c r="H7" s="193">
        <v>7454</v>
      </c>
      <c r="K7" s="217" t="s">
        <v>396</v>
      </c>
      <c r="L7" s="284">
        <v>0</v>
      </c>
      <c r="M7" s="284">
        <v>0</v>
      </c>
      <c r="N7" s="284">
        <v>455.84202198731504</v>
      </c>
      <c r="O7" s="284">
        <v>100.06288287526428</v>
      </c>
      <c r="P7" s="10">
        <f t="shared" si="0"/>
        <v>555.90490486257931</v>
      </c>
      <c r="R7" s="283" t="s">
        <v>616</v>
      </c>
      <c r="S7" s="284">
        <v>5.3360140003146137</v>
      </c>
      <c r="T7" s="285">
        <v>0</v>
      </c>
      <c r="U7" s="285">
        <v>56.122711508581752</v>
      </c>
      <c r="V7" s="285">
        <v>79</v>
      </c>
      <c r="W7" s="285">
        <v>35.27137123745819</v>
      </c>
      <c r="X7" s="284">
        <v>100.06288287526428</v>
      </c>
    </row>
    <row r="8" spans="1:24" ht="15" thickBot="1" x14ac:dyDescent="0.3">
      <c r="A8" s="191" t="s">
        <v>333</v>
      </c>
      <c r="B8" s="192" t="s">
        <v>426</v>
      </c>
      <c r="C8" s="193">
        <v>7636</v>
      </c>
      <c r="D8" s="193">
        <v>10292</v>
      </c>
      <c r="E8" s="193">
        <v>7926</v>
      </c>
      <c r="F8" s="193">
        <v>5576</v>
      </c>
      <c r="G8" s="193">
        <v>2803</v>
      </c>
      <c r="H8" s="193">
        <v>2177</v>
      </c>
      <c r="K8" s="217" t="s">
        <v>397</v>
      </c>
      <c r="L8" s="285">
        <v>0</v>
      </c>
      <c r="M8" s="285">
        <v>0</v>
      </c>
      <c r="N8" s="285">
        <v>384.12662207357857</v>
      </c>
      <c r="O8" s="285">
        <v>35.27137123745819</v>
      </c>
      <c r="P8" s="10">
        <f t="shared" si="0"/>
        <v>419.39799331103677</v>
      </c>
      <c r="S8" s="10">
        <f>SUM(S4:S7)</f>
        <v>485.04367262859836</v>
      </c>
      <c r="T8" s="10">
        <f>SUM(T4:T7)</f>
        <v>904.8045926919209</v>
      </c>
      <c r="U8" s="10">
        <f t="shared" ref="U8:X8" si="1">SUM(U4:U7)</f>
        <v>412.6669963866305</v>
      </c>
      <c r="V8" s="10">
        <f t="shared" si="1"/>
        <v>790</v>
      </c>
      <c r="W8" s="10">
        <f t="shared" si="1"/>
        <v>419.39799331103677</v>
      </c>
      <c r="X8" s="10">
        <f t="shared" si="1"/>
        <v>555.90490486257931</v>
      </c>
    </row>
    <row r="9" spans="1:24" ht="15" thickBot="1" x14ac:dyDescent="0.3">
      <c r="A9" s="191" t="s">
        <v>335</v>
      </c>
      <c r="B9" s="192" t="s">
        <v>314</v>
      </c>
      <c r="C9" s="193">
        <v>6.38</v>
      </c>
      <c r="D9" s="193">
        <v>7.24</v>
      </c>
      <c r="E9" s="193">
        <v>6.78</v>
      </c>
      <c r="F9" s="193">
        <v>4.5</v>
      </c>
      <c r="G9" s="193">
        <v>6.74</v>
      </c>
      <c r="H9" s="193">
        <v>4.04</v>
      </c>
      <c r="K9" s="217" t="s">
        <v>398</v>
      </c>
      <c r="L9" s="285">
        <v>0</v>
      </c>
      <c r="M9" s="285">
        <v>553</v>
      </c>
      <c r="N9" s="285">
        <v>158</v>
      </c>
      <c r="O9" s="285">
        <v>79</v>
      </c>
      <c r="P9" s="10">
        <f t="shared" si="0"/>
        <v>790</v>
      </c>
    </row>
    <row r="10" spans="1:24" ht="12.6" thickBot="1" x14ac:dyDescent="0.3">
      <c r="A10" s="406" t="s">
        <v>44</v>
      </c>
      <c r="B10" s="407"/>
      <c r="C10" s="407"/>
      <c r="D10" s="407"/>
      <c r="E10" s="407"/>
      <c r="F10" s="407"/>
      <c r="G10" s="407"/>
      <c r="H10" s="408"/>
      <c r="L10" s="10">
        <f>SUM(L4:L9)</f>
        <v>383.80493427717477</v>
      </c>
      <c r="M10" s="10">
        <f t="shared" ref="M10:O10" si="2">SUM(M4:M9)</f>
        <v>553</v>
      </c>
      <c r="N10" s="10">
        <f t="shared" si="2"/>
        <v>2355.2202459819723</v>
      </c>
      <c r="O10" s="10">
        <f t="shared" si="2"/>
        <v>275.79297962161883</v>
      </c>
      <c r="P10" s="10">
        <f>SUM(P4:P9)</f>
        <v>3567.818159880766</v>
      </c>
    </row>
    <row r="11" spans="1:24" ht="14.4" thickBot="1" x14ac:dyDescent="0.3">
      <c r="A11" s="191" t="s">
        <v>336</v>
      </c>
      <c r="B11" s="192" t="s">
        <v>427</v>
      </c>
      <c r="C11" s="193">
        <v>6371</v>
      </c>
      <c r="D11" s="193">
        <v>8060</v>
      </c>
      <c r="E11" s="193">
        <v>7036</v>
      </c>
      <c r="F11" s="193">
        <v>5292</v>
      </c>
      <c r="G11" s="193">
        <v>5153</v>
      </c>
      <c r="H11" s="193">
        <v>4060</v>
      </c>
      <c r="L11" s="198">
        <f>+L10/$P$10</f>
        <v>0.10757412992426757</v>
      </c>
      <c r="M11" s="198">
        <f t="shared" ref="M11:O11" si="3">+M10/$P$10</f>
        <v>0.15499668851354265</v>
      </c>
      <c r="N11" s="198">
        <f t="shared" si="3"/>
        <v>0.66012900334042868</v>
      </c>
      <c r="O11" s="198">
        <f t="shared" si="3"/>
        <v>7.7300178221761065E-2</v>
      </c>
    </row>
    <row r="12" spans="1:24" ht="12.6" thickBot="1" x14ac:dyDescent="0.3">
      <c r="A12" s="191"/>
      <c r="B12" s="192"/>
      <c r="C12" s="202">
        <f>+C11/C3</f>
        <v>212.36666666666667</v>
      </c>
      <c r="D12" s="202">
        <f t="shared" ref="D12:H12" si="4">+D11/D3</f>
        <v>201.5</v>
      </c>
      <c r="E12" s="202">
        <f t="shared" si="4"/>
        <v>234.53333333333333</v>
      </c>
      <c r="F12" s="202">
        <f t="shared" si="4"/>
        <v>220.5</v>
      </c>
      <c r="G12" s="202">
        <f t="shared" si="4"/>
        <v>214.70833333333334</v>
      </c>
      <c r="H12" s="202">
        <f t="shared" si="4"/>
        <v>203</v>
      </c>
    </row>
    <row r="13" spans="1:24" ht="12.6" thickBot="1" x14ac:dyDescent="0.3">
      <c r="A13" s="191" t="s">
        <v>338</v>
      </c>
      <c r="B13" s="192" t="s">
        <v>314</v>
      </c>
      <c r="C13" s="193">
        <v>11.8</v>
      </c>
      <c r="D13" s="193">
        <v>11.12</v>
      </c>
      <c r="E13" s="193">
        <v>12.06</v>
      </c>
      <c r="F13" s="193">
        <v>10.32</v>
      </c>
      <c r="G13" s="193">
        <v>12.32</v>
      </c>
      <c r="H13" s="193">
        <v>12.13</v>
      </c>
    </row>
    <row r="14" spans="1:24" ht="14.4" thickBot="1" x14ac:dyDescent="0.3">
      <c r="A14" s="191" t="s">
        <v>339</v>
      </c>
      <c r="B14" s="192" t="s">
        <v>428</v>
      </c>
      <c r="C14" s="193">
        <v>4170</v>
      </c>
      <c r="D14" s="193">
        <v>5386</v>
      </c>
      <c r="E14" s="193">
        <v>4348</v>
      </c>
      <c r="F14" s="193">
        <v>3304</v>
      </c>
      <c r="G14" s="193">
        <v>3317</v>
      </c>
      <c r="H14" s="193">
        <v>2844</v>
      </c>
    </row>
    <row r="15" spans="1:24" ht="14.4" thickBot="1" x14ac:dyDescent="0.3">
      <c r="A15" s="195"/>
      <c r="B15" s="196"/>
      <c r="C15" s="199">
        <f>+C14/C3</f>
        <v>139</v>
      </c>
      <c r="D15" s="199">
        <f t="shared" ref="D15:H15" si="5">+D14/D3</f>
        <v>134.65</v>
      </c>
      <c r="E15" s="199">
        <f t="shared" si="5"/>
        <v>144.93333333333334</v>
      </c>
      <c r="F15" s="199">
        <f t="shared" si="5"/>
        <v>137.66666666666666</v>
      </c>
      <c r="G15" s="199">
        <f t="shared" si="5"/>
        <v>138.20833333333334</v>
      </c>
      <c r="H15" s="199">
        <f t="shared" si="5"/>
        <v>142.19999999999999</v>
      </c>
      <c r="L15" s="288"/>
    </row>
    <row r="16" spans="1:24" ht="14.4" thickBot="1" x14ac:dyDescent="0.3">
      <c r="A16" s="195" t="s">
        <v>473</v>
      </c>
      <c r="B16" s="196" t="s">
        <v>14</v>
      </c>
      <c r="C16" s="199">
        <f>+(150*C3)+C12-((0.15-C13)*C3)-C15</f>
        <v>4922.8666666666668</v>
      </c>
      <c r="D16" s="199">
        <f t="shared" ref="D16:H16" si="6">+(150*D3)+D12-(0.045*D3)-D15</f>
        <v>6065.05</v>
      </c>
      <c r="E16" s="199">
        <f t="shared" si="6"/>
        <v>4588.25</v>
      </c>
      <c r="F16" s="199">
        <f t="shared" si="6"/>
        <v>3681.7533333333336</v>
      </c>
      <c r="G16" s="199">
        <f t="shared" si="6"/>
        <v>3675.42</v>
      </c>
      <c r="H16" s="199">
        <f t="shared" si="6"/>
        <v>3059.9</v>
      </c>
      <c r="L16" s="288"/>
    </row>
    <row r="17" spans="1:12" ht="14.4" thickBot="1" x14ac:dyDescent="0.3">
      <c r="A17" s="195"/>
      <c r="B17" s="196"/>
      <c r="C17" s="199">
        <f>+C16/C3</f>
        <v>164.09555555555556</v>
      </c>
      <c r="D17" s="199">
        <f t="shared" ref="D17:H17" si="7">+D16/D3</f>
        <v>151.62625</v>
      </c>
      <c r="E17" s="199">
        <f t="shared" si="7"/>
        <v>152.94166666666666</v>
      </c>
      <c r="F17" s="199">
        <f t="shared" si="7"/>
        <v>153.4063888888889</v>
      </c>
      <c r="G17" s="199">
        <f t="shared" si="7"/>
        <v>153.14250000000001</v>
      </c>
      <c r="H17" s="199">
        <f t="shared" si="7"/>
        <v>152.995</v>
      </c>
      <c r="L17" s="288"/>
    </row>
    <row r="18" spans="1:12" ht="14.4" thickBot="1" x14ac:dyDescent="0.3">
      <c r="A18" s="195" t="s">
        <v>474</v>
      </c>
      <c r="B18" s="196" t="s">
        <v>314</v>
      </c>
      <c r="C18" s="200">
        <f>+Biomass!$W$41/Datos_Base!C12</f>
        <v>0</v>
      </c>
      <c r="D18" s="200">
        <f>+Biomass!$W$41/Datos_Base!D12</f>
        <v>0</v>
      </c>
      <c r="E18" s="200">
        <f>+Biomass!$W$41/Datos_Base!E12</f>
        <v>0</v>
      </c>
      <c r="F18" s="200">
        <f>+Biomass!$W$41/Datos_Base!F12</f>
        <v>0</v>
      </c>
      <c r="G18" s="200">
        <f>+Biomass!$W$41/Datos_Base!G12</f>
        <v>0</v>
      </c>
      <c r="H18" s="200">
        <f>+Biomass!$W$41/Datos_Base!H12</f>
        <v>0</v>
      </c>
      <c r="L18" s="289"/>
    </row>
    <row r="19" spans="1:12" ht="12.6" thickBot="1" x14ac:dyDescent="0.3">
      <c r="A19" s="195"/>
      <c r="B19" s="196"/>
      <c r="C19" s="200"/>
      <c r="D19" s="200"/>
      <c r="E19" s="200"/>
      <c r="F19" s="200"/>
      <c r="G19" s="200"/>
      <c r="H19" s="200"/>
    </row>
    <row r="20" spans="1:12" ht="11.25" customHeight="1" thickBot="1" x14ac:dyDescent="0.3">
      <c r="A20" s="406" t="s">
        <v>429</v>
      </c>
      <c r="B20" s="407"/>
      <c r="C20" s="407"/>
      <c r="D20" s="407"/>
      <c r="E20" s="407"/>
      <c r="F20" s="407"/>
      <c r="G20" s="407"/>
      <c r="H20" s="408"/>
    </row>
    <row r="21" spans="1:12" ht="14.4" thickBot="1" x14ac:dyDescent="0.3">
      <c r="A21" s="191" t="s">
        <v>430</v>
      </c>
      <c r="B21" s="192" t="s">
        <v>428</v>
      </c>
      <c r="C21" s="193">
        <v>24.3</v>
      </c>
      <c r="D21" s="193">
        <v>22.5</v>
      </c>
      <c r="E21" s="193">
        <v>22.9</v>
      </c>
      <c r="F21" s="193">
        <v>18.600000000000001</v>
      </c>
      <c r="G21" s="193">
        <v>24.34</v>
      </c>
      <c r="H21" s="193">
        <v>21.35</v>
      </c>
    </row>
    <row r="22" spans="1:12" ht="12.6" thickBot="1" x14ac:dyDescent="0.3">
      <c r="A22" s="191" t="s">
        <v>431</v>
      </c>
      <c r="B22" s="192" t="s">
        <v>314</v>
      </c>
      <c r="C22" s="193">
        <v>64.3</v>
      </c>
      <c r="D22" s="193">
        <v>62.5</v>
      </c>
      <c r="E22" s="193">
        <v>66.7</v>
      </c>
      <c r="F22" s="193">
        <v>58.9</v>
      </c>
      <c r="G22" s="193">
        <v>59.7</v>
      </c>
      <c r="H22" s="193">
        <v>62.8</v>
      </c>
    </row>
    <row r="23" spans="1:12" ht="14.4" thickBot="1" x14ac:dyDescent="0.3">
      <c r="A23" s="191" t="s">
        <v>343</v>
      </c>
      <c r="B23" s="192" t="s">
        <v>432</v>
      </c>
      <c r="C23" s="193">
        <v>63.9</v>
      </c>
      <c r="D23" s="193">
        <v>66.38</v>
      </c>
      <c r="E23" s="193">
        <v>65.040000000000006</v>
      </c>
      <c r="F23" s="193">
        <v>71.08</v>
      </c>
      <c r="G23" s="193">
        <v>63.34</v>
      </c>
      <c r="H23" s="193">
        <v>66.52</v>
      </c>
    </row>
    <row r="24" spans="1:12" ht="12.6" thickBot="1" x14ac:dyDescent="0.3">
      <c r="A24" s="191" t="s">
        <v>345</v>
      </c>
      <c r="B24" s="192" t="s">
        <v>314</v>
      </c>
      <c r="C24" s="193">
        <v>28.7</v>
      </c>
      <c r="D24" s="193"/>
      <c r="E24" s="193"/>
      <c r="F24" s="193"/>
      <c r="G24" s="193"/>
      <c r="H24" s="193"/>
    </row>
    <row r="25" spans="1:12" ht="12.6" thickBot="1" x14ac:dyDescent="0.3">
      <c r="A25" s="406" t="s">
        <v>433</v>
      </c>
      <c r="B25" s="407"/>
      <c r="C25" s="407"/>
      <c r="D25" s="407"/>
      <c r="E25" s="407"/>
      <c r="F25" s="407"/>
      <c r="G25" s="407"/>
      <c r="H25" s="408"/>
    </row>
    <row r="26" spans="1:12" ht="14.4" thickBot="1" x14ac:dyDescent="0.3">
      <c r="A26" s="191" t="s">
        <v>346</v>
      </c>
      <c r="B26" s="192" t="s">
        <v>427</v>
      </c>
      <c r="C26" s="193">
        <v>2832</v>
      </c>
      <c r="D26" s="193">
        <v>3524</v>
      </c>
      <c r="E26" s="193">
        <v>2537</v>
      </c>
      <c r="F26" s="193">
        <v>2606</v>
      </c>
      <c r="G26" s="193">
        <v>2113</v>
      </c>
      <c r="H26" s="193">
        <v>1806</v>
      </c>
    </row>
    <row r="27" spans="1:12" ht="14.4" thickBot="1" x14ac:dyDescent="0.3">
      <c r="A27" s="191" t="s">
        <v>347</v>
      </c>
      <c r="B27" s="192" t="s">
        <v>434</v>
      </c>
      <c r="C27" s="193">
        <v>11866</v>
      </c>
      <c r="D27" s="193">
        <v>15972</v>
      </c>
      <c r="E27" s="193">
        <v>11799</v>
      </c>
      <c r="F27" s="193">
        <v>9589</v>
      </c>
      <c r="G27" s="193">
        <v>9513</v>
      </c>
      <c r="H27" s="193">
        <v>7885</v>
      </c>
    </row>
    <row r="28" spans="1:12" ht="12.6" thickBot="1" x14ac:dyDescent="0.3">
      <c r="A28" s="191" t="s">
        <v>349</v>
      </c>
      <c r="B28" s="192" t="s">
        <v>314</v>
      </c>
      <c r="C28" s="193">
        <v>53</v>
      </c>
      <c r="D28" s="193">
        <v>54</v>
      </c>
      <c r="E28" s="193">
        <v>53</v>
      </c>
      <c r="F28" s="193">
        <v>50</v>
      </c>
      <c r="G28" s="193">
        <v>54</v>
      </c>
      <c r="H28" s="193">
        <v>53</v>
      </c>
    </row>
    <row r="29" spans="1:12" ht="12.6" thickBot="1" x14ac:dyDescent="0.3">
      <c r="A29" s="191" t="s">
        <v>350</v>
      </c>
      <c r="B29" s="192" t="s">
        <v>314</v>
      </c>
      <c r="C29" s="193">
        <v>14</v>
      </c>
      <c r="D29" s="193">
        <v>16</v>
      </c>
      <c r="E29" s="193">
        <v>17</v>
      </c>
      <c r="F29" s="193">
        <v>15</v>
      </c>
      <c r="G29" s="193">
        <v>17</v>
      </c>
      <c r="H29" s="193">
        <v>16</v>
      </c>
    </row>
    <row r="30" spans="1:12" ht="12.6" thickBot="1" x14ac:dyDescent="0.3">
      <c r="A30" s="191" t="s">
        <v>435</v>
      </c>
      <c r="B30" s="192" t="s">
        <v>314</v>
      </c>
      <c r="C30" s="193">
        <v>33</v>
      </c>
      <c r="D30" s="193">
        <v>31</v>
      </c>
      <c r="E30" s="193">
        <v>30</v>
      </c>
      <c r="F30" s="193">
        <v>35</v>
      </c>
      <c r="G30" s="193">
        <v>29</v>
      </c>
      <c r="H30" s="193">
        <v>31</v>
      </c>
    </row>
    <row r="31" spans="1:12" ht="14.4" thickBot="1" x14ac:dyDescent="0.3">
      <c r="A31" s="191" t="s">
        <v>352</v>
      </c>
      <c r="B31" s="192" t="s">
        <v>436</v>
      </c>
      <c r="C31" s="193">
        <v>18073</v>
      </c>
      <c r="D31" s="193">
        <v>25776</v>
      </c>
      <c r="E31" s="193">
        <v>24862</v>
      </c>
      <c r="F31" s="193">
        <v>15829</v>
      </c>
      <c r="G31" s="193">
        <v>9444</v>
      </c>
      <c r="H31" s="193">
        <v>4831</v>
      </c>
    </row>
    <row r="32" spans="1:12" ht="12.6" thickBot="1" x14ac:dyDescent="0.3">
      <c r="A32" s="191" t="s">
        <v>354</v>
      </c>
      <c r="B32" s="192" t="s">
        <v>314</v>
      </c>
      <c r="C32" s="193">
        <v>35.200000000000003</v>
      </c>
      <c r="D32" s="193">
        <v>33.1</v>
      </c>
      <c r="E32" s="193">
        <v>38.4</v>
      </c>
      <c r="F32" s="193">
        <v>35.299999999999997</v>
      </c>
      <c r="G32" s="193">
        <v>36.6</v>
      </c>
      <c r="H32" s="193">
        <v>36.799999999999997</v>
      </c>
    </row>
    <row r="33" spans="1:8" ht="14.4" thickBot="1" x14ac:dyDescent="0.3">
      <c r="A33" s="191" t="s">
        <v>355</v>
      </c>
      <c r="B33" s="192" t="s">
        <v>437</v>
      </c>
      <c r="C33" s="193">
        <v>16825</v>
      </c>
      <c r="D33" s="193">
        <v>18788</v>
      </c>
      <c r="E33" s="193">
        <v>15918</v>
      </c>
      <c r="F33" s="193">
        <v>13095</v>
      </c>
      <c r="G33" s="193">
        <v>6247</v>
      </c>
      <c r="H33" s="193">
        <v>4880</v>
      </c>
    </row>
    <row r="34" spans="1:8" ht="12.6" thickBot="1" x14ac:dyDescent="0.3">
      <c r="A34" s="191" t="s">
        <v>357</v>
      </c>
      <c r="B34" s="192" t="s">
        <v>314</v>
      </c>
      <c r="C34" s="193">
        <v>11.93</v>
      </c>
      <c r="D34" s="193">
        <v>10.82</v>
      </c>
      <c r="E34" s="193">
        <v>13.36</v>
      </c>
      <c r="F34" s="193">
        <v>12.29</v>
      </c>
      <c r="G34" s="193">
        <v>14.33</v>
      </c>
      <c r="H34" s="193">
        <v>16.47</v>
      </c>
    </row>
    <row r="35" spans="1:8" ht="12.6" thickBot="1" x14ac:dyDescent="0.3">
      <c r="A35" s="406" t="s">
        <v>50</v>
      </c>
      <c r="B35" s="407"/>
      <c r="C35" s="407"/>
      <c r="D35" s="407"/>
      <c r="E35" s="407"/>
      <c r="F35" s="407"/>
      <c r="G35" s="407"/>
      <c r="H35" s="408"/>
    </row>
    <row r="36" spans="1:8" ht="14.4" thickBot="1" x14ac:dyDescent="0.3">
      <c r="A36" s="191" t="s">
        <v>438</v>
      </c>
      <c r="B36" s="192" t="s">
        <v>439</v>
      </c>
      <c r="C36" s="193">
        <v>4512</v>
      </c>
      <c r="D36" s="193">
        <v>6124</v>
      </c>
      <c r="E36" s="193">
        <v>4459</v>
      </c>
      <c r="F36" s="193">
        <v>3425</v>
      </c>
      <c r="G36" s="193">
        <v>3668</v>
      </c>
      <c r="H36" s="193">
        <v>2985</v>
      </c>
    </row>
    <row r="37" spans="1:8" ht="12.6" thickBot="1" x14ac:dyDescent="0.3">
      <c r="A37" s="191" t="s">
        <v>359</v>
      </c>
      <c r="B37" s="192" t="s">
        <v>360</v>
      </c>
      <c r="C37" s="193">
        <v>80</v>
      </c>
      <c r="D37" s="193">
        <v>80</v>
      </c>
      <c r="E37" s="193">
        <v>80</v>
      </c>
      <c r="F37" s="193">
        <v>80</v>
      </c>
      <c r="G37" s="193">
        <v>80</v>
      </c>
      <c r="H37" s="193">
        <v>80</v>
      </c>
    </row>
    <row r="38" spans="1:8" ht="12.6" thickBot="1" x14ac:dyDescent="0.3">
      <c r="A38" s="191" t="s">
        <v>361</v>
      </c>
      <c r="B38" s="192" t="s">
        <v>360</v>
      </c>
      <c r="C38" s="193">
        <v>70</v>
      </c>
      <c r="D38" s="193">
        <v>72</v>
      </c>
      <c r="E38" s="193">
        <v>70</v>
      </c>
      <c r="F38" s="193">
        <v>72</v>
      </c>
      <c r="G38" s="193">
        <v>71</v>
      </c>
      <c r="H38" s="193">
        <v>70</v>
      </c>
    </row>
    <row r="39" spans="1:8" ht="14.4" thickBot="1" x14ac:dyDescent="0.3">
      <c r="A39" s="191" t="s">
        <v>362</v>
      </c>
      <c r="B39" s="192" t="s">
        <v>440</v>
      </c>
      <c r="C39" s="193">
        <v>5477</v>
      </c>
      <c r="D39" s="193">
        <v>7342</v>
      </c>
      <c r="E39" s="193">
        <v>5250</v>
      </c>
      <c r="F39" s="193">
        <v>4125</v>
      </c>
      <c r="G39" s="193">
        <v>4450</v>
      </c>
      <c r="H39" s="193">
        <v>3405</v>
      </c>
    </row>
    <row r="40" spans="1:8" ht="14.4" thickBot="1" x14ac:dyDescent="0.3">
      <c r="A40" s="191" t="s">
        <v>364</v>
      </c>
      <c r="B40" s="192" t="s">
        <v>427</v>
      </c>
      <c r="C40" s="193">
        <v>701</v>
      </c>
      <c r="D40" s="193">
        <v>1122</v>
      </c>
      <c r="E40" s="193">
        <v>535</v>
      </c>
      <c r="F40" s="193">
        <v>683</v>
      </c>
      <c r="G40" s="193">
        <v>513</v>
      </c>
      <c r="H40" s="193">
        <v>408</v>
      </c>
    </row>
    <row r="41" spans="1:8" ht="14.4" thickBot="1" x14ac:dyDescent="0.3">
      <c r="A41" s="191" t="s">
        <v>365</v>
      </c>
      <c r="B41" s="192" t="s">
        <v>441</v>
      </c>
      <c r="C41" s="193">
        <v>13733</v>
      </c>
      <c r="D41" s="193">
        <v>18278</v>
      </c>
      <c r="E41" s="193">
        <v>13546</v>
      </c>
      <c r="F41" s="193">
        <v>11495</v>
      </c>
      <c r="G41" s="193">
        <v>10843</v>
      </c>
      <c r="H41" s="193">
        <v>9271</v>
      </c>
    </row>
    <row r="42" spans="1:8" ht="12.6" thickBot="1" x14ac:dyDescent="0.3">
      <c r="A42" s="406" t="s">
        <v>442</v>
      </c>
      <c r="B42" s="407"/>
      <c r="C42" s="407"/>
      <c r="D42" s="407"/>
      <c r="E42" s="407"/>
      <c r="F42" s="407"/>
      <c r="G42" s="407"/>
      <c r="H42" s="408"/>
    </row>
    <row r="43" spans="1:8" ht="14.4" thickBot="1" x14ac:dyDescent="0.3">
      <c r="A43" s="191" t="s">
        <v>367</v>
      </c>
      <c r="B43" s="192" t="s">
        <v>439</v>
      </c>
      <c r="C43" s="193">
        <v>3784</v>
      </c>
      <c r="D43" s="193">
        <v>5328</v>
      </c>
      <c r="E43" s="193">
        <v>3703</v>
      </c>
      <c r="F43" s="193">
        <v>3180</v>
      </c>
      <c r="G43" s="193">
        <v>3004</v>
      </c>
      <c r="H43" s="193">
        <v>2605</v>
      </c>
    </row>
    <row r="44" spans="1:8" ht="14.4" thickBot="1" x14ac:dyDescent="0.3">
      <c r="A44" s="191" t="s">
        <v>368</v>
      </c>
      <c r="B44" s="192" t="s">
        <v>440</v>
      </c>
      <c r="C44" s="193">
        <v>736</v>
      </c>
      <c r="D44" s="193">
        <v>878</v>
      </c>
      <c r="E44" s="193">
        <v>654</v>
      </c>
      <c r="F44" s="193">
        <v>651</v>
      </c>
      <c r="G44" s="193">
        <v>535</v>
      </c>
      <c r="H44" s="193">
        <v>455</v>
      </c>
    </row>
    <row r="45" spans="1:8" ht="14.4" thickBot="1" x14ac:dyDescent="0.3">
      <c r="A45" s="191" t="s">
        <v>369</v>
      </c>
      <c r="B45" s="192" t="s">
        <v>443</v>
      </c>
      <c r="C45" s="193">
        <v>16780</v>
      </c>
      <c r="D45" s="193">
        <v>22727</v>
      </c>
      <c r="E45" s="193">
        <v>16595</v>
      </c>
      <c r="F45" s="193">
        <v>14024</v>
      </c>
      <c r="G45" s="193">
        <v>13313</v>
      </c>
      <c r="H45" s="193">
        <v>11422</v>
      </c>
    </row>
    <row r="46" spans="1:8" ht="12.6" thickBot="1" x14ac:dyDescent="0.3">
      <c r="A46" s="406" t="s">
        <v>57</v>
      </c>
      <c r="B46" s="407"/>
      <c r="C46" s="407"/>
      <c r="D46" s="407"/>
      <c r="E46" s="407"/>
      <c r="F46" s="407"/>
      <c r="G46" s="407"/>
      <c r="H46" s="408"/>
    </row>
    <row r="47" spans="1:8" ht="15" thickBot="1" x14ac:dyDescent="0.3">
      <c r="A47" s="191" t="s">
        <v>371</v>
      </c>
      <c r="B47" s="194" t="s">
        <v>427</v>
      </c>
      <c r="C47" s="193">
        <v>1514</v>
      </c>
      <c r="D47" s="193">
        <v>1701</v>
      </c>
      <c r="E47" s="193">
        <v>1427</v>
      </c>
      <c r="F47" s="193">
        <v>1127</v>
      </c>
      <c r="G47" s="193">
        <v>1100</v>
      </c>
      <c r="H47" s="193">
        <v>932</v>
      </c>
    </row>
    <row r="48" spans="1:8" ht="12.6" thickBot="1" x14ac:dyDescent="0.3">
      <c r="A48" s="191" t="s">
        <v>372</v>
      </c>
      <c r="B48" s="194" t="s">
        <v>360</v>
      </c>
      <c r="C48" s="193">
        <v>50</v>
      </c>
      <c r="D48" s="193">
        <v>52</v>
      </c>
      <c r="E48" s="193">
        <v>55</v>
      </c>
      <c r="F48" s="193">
        <v>52</v>
      </c>
      <c r="G48" s="193">
        <v>50</v>
      </c>
      <c r="H48" s="193">
        <v>55</v>
      </c>
    </row>
    <row r="49" spans="1:12" ht="12.6" thickBot="1" x14ac:dyDescent="0.3">
      <c r="A49" s="406" t="s">
        <v>444</v>
      </c>
      <c r="B49" s="407"/>
      <c r="C49" s="407"/>
      <c r="D49" s="407"/>
      <c r="E49" s="407"/>
      <c r="F49" s="407"/>
      <c r="G49" s="407"/>
      <c r="H49" s="408"/>
    </row>
    <row r="50" spans="1:12" ht="14.4" thickBot="1" x14ac:dyDescent="0.3">
      <c r="A50" s="191" t="s">
        <v>373</v>
      </c>
      <c r="B50" s="192" t="s">
        <v>427</v>
      </c>
      <c r="C50" s="193">
        <v>1615</v>
      </c>
      <c r="D50" s="193">
        <v>2157</v>
      </c>
      <c r="E50" s="193">
        <v>1556</v>
      </c>
      <c r="F50" s="193">
        <v>1220</v>
      </c>
      <c r="G50" s="193">
        <v>1286</v>
      </c>
      <c r="H50" s="193">
        <v>992</v>
      </c>
    </row>
    <row r="51" spans="1:12" ht="14.4" thickBot="1" x14ac:dyDescent="0.3">
      <c r="A51" s="191" t="s">
        <v>374</v>
      </c>
      <c r="B51" s="192" t="s">
        <v>445</v>
      </c>
      <c r="C51" s="193"/>
      <c r="D51" s="193"/>
      <c r="E51" s="193"/>
      <c r="F51" s="193"/>
      <c r="G51" s="193"/>
      <c r="H51" s="193"/>
      <c r="K51" s="286" t="s">
        <v>617</v>
      </c>
      <c r="L51" s="291">
        <v>2693</v>
      </c>
    </row>
    <row r="52" spans="1:12" ht="14.4" thickBot="1" x14ac:dyDescent="0.3">
      <c r="A52" s="191" t="s">
        <v>376</v>
      </c>
      <c r="B52" s="192" t="s">
        <v>360</v>
      </c>
      <c r="C52" s="193">
        <v>50</v>
      </c>
      <c r="D52" s="193">
        <v>55</v>
      </c>
      <c r="E52" s="193">
        <v>60</v>
      </c>
      <c r="F52" s="193">
        <v>50</v>
      </c>
      <c r="G52" s="193">
        <v>55</v>
      </c>
      <c r="H52" s="193">
        <v>60</v>
      </c>
      <c r="K52" s="286" t="s">
        <v>618</v>
      </c>
      <c r="L52" s="292">
        <v>24942</v>
      </c>
    </row>
    <row r="53" spans="1:12" ht="14.4" thickBot="1" x14ac:dyDescent="0.3">
      <c r="A53" s="191" t="s">
        <v>377</v>
      </c>
      <c r="B53" s="192" t="s">
        <v>360</v>
      </c>
      <c r="C53" s="193">
        <v>7.2</v>
      </c>
      <c r="D53" s="193">
        <v>7.5</v>
      </c>
      <c r="E53" s="193">
        <v>7.6</v>
      </c>
      <c r="F53" s="193">
        <v>7.1</v>
      </c>
      <c r="G53" s="193">
        <v>7.8</v>
      </c>
      <c r="H53" s="193">
        <v>7.4</v>
      </c>
      <c r="K53" s="287" t="s">
        <v>619</v>
      </c>
      <c r="L53" s="292"/>
    </row>
    <row r="54" spans="1:12" ht="14.4" thickBot="1" x14ac:dyDescent="0.3">
      <c r="A54" s="406" t="s">
        <v>446</v>
      </c>
      <c r="B54" s="407"/>
      <c r="C54" s="407"/>
      <c r="D54" s="407"/>
      <c r="E54" s="407"/>
      <c r="F54" s="407"/>
      <c r="G54" s="407"/>
      <c r="H54" s="408"/>
      <c r="K54" s="286" t="s">
        <v>620</v>
      </c>
      <c r="L54" s="292">
        <v>127781.59</v>
      </c>
    </row>
    <row r="55" spans="1:12" ht="14.4" thickBot="1" x14ac:dyDescent="0.3">
      <c r="A55" s="191" t="s">
        <v>309</v>
      </c>
      <c r="B55" s="192" t="s">
        <v>447</v>
      </c>
      <c r="C55" s="193">
        <v>9189</v>
      </c>
      <c r="D55" s="193">
        <v>8496</v>
      </c>
      <c r="E55" s="193">
        <v>7992</v>
      </c>
      <c r="F55" s="193">
        <v>7519</v>
      </c>
      <c r="G55" s="193">
        <v>3444</v>
      </c>
      <c r="H55" s="193">
        <v>2703</v>
      </c>
      <c r="K55" s="286" t="s">
        <v>621</v>
      </c>
      <c r="L55" s="292">
        <v>26704</v>
      </c>
    </row>
    <row r="56" spans="1:12" ht="14.4" thickBot="1" x14ac:dyDescent="0.3">
      <c r="A56" s="191" t="s">
        <v>379</v>
      </c>
      <c r="B56" s="192" t="s">
        <v>448</v>
      </c>
      <c r="C56" s="193">
        <v>7636</v>
      </c>
      <c r="D56" s="193">
        <v>10292</v>
      </c>
      <c r="E56" s="193">
        <v>7926</v>
      </c>
      <c r="F56" s="193">
        <v>5576</v>
      </c>
      <c r="G56" s="193">
        <v>2803</v>
      </c>
      <c r="H56" s="193">
        <v>2177</v>
      </c>
      <c r="K56" s="286" t="s">
        <v>622</v>
      </c>
      <c r="L56" s="292">
        <v>13177</v>
      </c>
    </row>
    <row r="57" spans="1:12" ht="28.2" thickBot="1" x14ac:dyDescent="0.3">
      <c r="A57" s="406" t="s">
        <v>449</v>
      </c>
      <c r="B57" s="407"/>
      <c r="C57" s="407"/>
      <c r="D57" s="407"/>
      <c r="E57" s="407"/>
      <c r="F57" s="407"/>
      <c r="G57" s="407"/>
      <c r="H57" s="408"/>
      <c r="K57" s="287" t="s">
        <v>623</v>
      </c>
      <c r="L57" s="292">
        <v>14960</v>
      </c>
    </row>
    <row r="58" spans="1:12" ht="14.4" thickBot="1" x14ac:dyDescent="0.3">
      <c r="A58" s="191" t="s">
        <v>381</v>
      </c>
      <c r="B58" s="192" t="s">
        <v>450</v>
      </c>
      <c r="C58" s="193">
        <v>30631</v>
      </c>
      <c r="D58" s="193">
        <v>117538</v>
      </c>
      <c r="E58" s="193">
        <v>63932</v>
      </c>
      <c r="F58" s="193">
        <v>36935</v>
      </c>
      <c r="G58" s="193">
        <v>25855</v>
      </c>
      <c r="H58" s="193">
        <v>15108</v>
      </c>
      <c r="K58" s="286" t="s">
        <v>420</v>
      </c>
      <c r="L58" s="293">
        <v>1296</v>
      </c>
    </row>
    <row r="59" spans="1:12" ht="12.6" thickBot="1" x14ac:dyDescent="0.3">
      <c r="A59" s="191" t="s">
        <v>383</v>
      </c>
      <c r="B59" s="192" t="s">
        <v>360</v>
      </c>
      <c r="C59" s="193">
        <v>90</v>
      </c>
      <c r="D59" s="193">
        <v>90</v>
      </c>
      <c r="E59" s="193">
        <v>92</v>
      </c>
      <c r="F59" s="193">
        <v>90</v>
      </c>
      <c r="G59" s="193">
        <v>90</v>
      </c>
      <c r="H59" s="193">
        <v>90</v>
      </c>
    </row>
    <row r="60" spans="1:12" ht="14.4" thickBot="1" x14ac:dyDescent="0.3">
      <c r="A60" s="191" t="s">
        <v>384</v>
      </c>
      <c r="B60" s="192" t="s">
        <v>451</v>
      </c>
      <c r="C60" s="193">
        <v>5129.1000000000004</v>
      </c>
      <c r="D60" s="193">
        <v>7679</v>
      </c>
      <c r="E60" s="193">
        <v>5585.4</v>
      </c>
      <c r="F60" s="193">
        <v>4220.8999999999996</v>
      </c>
      <c r="G60" s="193">
        <v>2852.3</v>
      </c>
      <c r="H60" s="193">
        <v>1283</v>
      </c>
    </row>
    <row r="61" spans="1:12" ht="12.6" thickBot="1" x14ac:dyDescent="0.3">
      <c r="A61" s="406" t="s">
        <v>53</v>
      </c>
      <c r="B61" s="407"/>
      <c r="C61" s="407"/>
      <c r="D61" s="407"/>
      <c r="E61" s="407"/>
      <c r="F61" s="407"/>
      <c r="G61" s="407"/>
      <c r="H61" s="408"/>
    </row>
    <row r="62" spans="1:12" ht="12.6" thickBot="1" x14ac:dyDescent="0.3">
      <c r="A62" s="191" t="s">
        <v>386</v>
      </c>
      <c r="B62" s="192" t="s">
        <v>314</v>
      </c>
      <c r="C62" s="193">
        <v>49</v>
      </c>
      <c r="D62" s="193">
        <v>84</v>
      </c>
      <c r="E62" s="193">
        <v>70</v>
      </c>
      <c r="F62" s="193">
        <v>86</v>
      </c>
      <c r="G62" s="193" t="s">
        <v>452</v>
      </c>
      <c r="H62" s="193" t="s">
        <v>453</v>
      </c>
    </row>
    <row r="63" spans="1:12" ht="12.6" thickBot="1" x14ac:dyDescent="0.3">
      <c r="A63" s="191" t="s">
        <v>387</v>
      </c>
      <c r="B63" s="192" t="s">
        <v>314</v>
      </c>
      <c r="C63" s="193">
        <v>79</v>
      </c>
      <c r="D63" s="193">
        <v>100</v>
      </c>
      <c r="E63" s="193">
        <v>82</v>
      </c>
      <c r="F63" s="193">
        <v>55</v>
      </c>
      <c r="G63" s="193" t="s">
        <v>454</v>
      </c>
      <c r="H63" s="193" t="s">
        <v>455</v>
      </c>
    </row>
    <row r="64" spans="1:12" ht="14.4" thickBot="1" x14ac:dyDescent="0.3">
      <c r="A64" s="191" t="s">
        <v>388</v>
      </c>
      <c r="B64" s="192" t="s">
        <v>427</v>
      </c>
      <c r="C64" s="193">
        <v>71984</v>
      </c>
      <c r="D64" s="193">
        <v>101041</v>
      </c>
      <c r="E64" s="193">
        <v>149175</v>
      </c>
      <c r="F64" s="193">
        <v>55402</v>
      </c>
      <c r="G64" s="193" t="s">
        <v>456</v>
      </c>
      <c r="H64" s="193" t="s">
        <v>457</v>
      </c>
    </row>
    <row r="65" spans="1:8" ht="12.6" thickBot="1" x14ac:dyDescent="0.3">
      <c r="A65" s="191" t="s">
        <v>389</v>
      </c>
      <c r="B65" s="192" t="s">
        <v>390</v>
      </c>
      <c r="C65" s="193" t="s">
        <v>458</v>
      </c>
      <c r="D65" s="193" t="s">
        <v>459</v>
      </c>
      <c r="E65" s="193" t="s">
        <v>460</v>
      </c>
      <c r="F65" s="193" t="s">
        <v>459</v>
      </c>
      <c r="G65" s="193">
        <v>1</v>
      </c>
      <c r="H65" s="193">
        <v>1</v>
      </c>
    </row>
    <row r="66" spans="1:8" ht="12.6" thickBot="1" x14ac:dyDescent="0.3">
      <c r="A66" s="191" t="s">
        <v>391</v>
      </c>
      <c r="B66" s="192" t="s">
        <v>360</v>
      </c>
      <c r="C66" s="193" t="s">
        <v>461</v>
      </c>
      <c r="D66" s="193">
        <v>240</v>
      </c>
      <c r="E66" s="193" t="s">
        <v>462</v>
      </c>
      <c r="F66" s="193">
        <v>160</v>
      </c>
      <c r="G66" s="193">
        <v>160</v>
      </c>
      <c r="H66" s="193" t="s">
        <v>463</v>
      </c>
    </row>
    <row r="67" spans="1:8" ht="12.6" thickBot="1" x14ac:dyDescent="0.3">
      <c r="A67" s="191" t="s">
        <v>392</v>
      </c>
      <c r="B67" s="192" t="s">
        <v>360</v>
      </c>
      <c r="C67" s="193">
        <v>90</v>
      </c>
      <c r="D67" s="193">
        <v>95</v>
      </c>
      <c r="E67" s="193">
        <v>90</v>
      </c>
      <c r="F67" s="193">
        <v>95</v>
      </c>
      <c r="G67" s="193">
        <v>90</v>
      </c>
      <c r="H67" s="193">
        <v>95</v>
      </c>
    </row>
    <row r="70" spans="1:8" x14ac:dyDescent="0.25">
      <c r="A70" s="290" t="s">
        <v>616</v>
      </c>
    </row>
    <row r="71" spans="1:8" x14ac:dyDescent="0.25">
      <c r="A71" s="290" t="s">
        <v>613</v>
      </c>
    </row>
    <row r="72" spans="1:8" x14ac:dyDescent="0.25">
      <c r="A72" s="290" t="s">
        <v>614</v>
      </c>
    </row>
  </sheetData>
  <mergeCells count="13">
    <mergeCell ref="A1:A2"/>
    <mergeCell ref="B1:B2"/>
    <mergeCell ref="C1:H1"/>
    <mergeCell ref="A10:H10"/>
    <mergeCell ref="A61:H61"/>
    <mergeCell ref="A25:H25"/>
    <mergeCell ref="A20:H20"/>
    <mergeCell ref="A35:H35"/>
    <mergeCell ref="A42:H42"/>
    <mergeCell ref="A46:H46"/>
    <mergeCell ref="A49:H49"/>
    <mergeCell ref="A54:H54"/>
    <mergeCell ref="A57:H57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7E46-26B4-4F29-8B53-66B3676A7E32}">
  <dimension ref="B3:BM65"/>
  <sheetViews>
    <sheetView showGridLines="0" topLeftCell="A14" zoomScale="25" zoomScaleNormal="25" workbookViewId="0">
      <selection activeCell="AV16" sqref="AV16"/>
    </sheetView>
  </sheetViews>
  <sheetFormatPr baseColWidth="10" defaultRowHeight="12" x14ac:dyDescent="0.25"/>
  <cols>
    <col min="1" max="1" width="12" customWidth="1"/>
    <col min="2" max="11" width="8.5" style="1" customWidth="1"/>
    <col min="12" max="12" width="7.5" style="1" customWidth="1"/>
    <col min="13" max="18" width="8.5" style="1" customWidth="1"/>
    <col min="19" max="19" width="9.875" style="1" customWidth="1"/>
    <col min="20" max="43" width="8.5" style="1" customWidth="1"/>
    <col min="44" max="44" width="14.375" style="14" customWidth="1"/>
    <col min="45" max="45" width="20.125" style="14" bestFit="1" customWidth="1"/>
    <col min="46" max="46" width="16.5" style="11" bestFit="1" customWidth="1"/>
    <col min="47" max="55" width="14.375" style="11" customWidth="1"/>
    <col min="56" max="57" width="8.5" customWidth="1"/>
  </cols>
  <sheetData>
    <row r="3" spans="3:65" x14ac:dyDescent="0.25">
      <c r="AE3" s="1" t="s">
        <v>22</v>
      </c>
    </row>
    <row r="4" spans="3:65" ht="72.599999999999994" thickBot="1" x14ac:dyDescent="0.3">
      <c r="L4" s="3"/>
      <c r="AR4" s="110" t="s">
        <v>127</v>
      </c>
      <c r="AS4" s="110" t="s">
        <v>128</v>
      </c>
      <c r="AT4" s="110" t="s">
        <v>176</v>
      </c>
      <c r="AU4" s="111" t="s">
        <v>129</v>
      </c>
      <c r="AV4" s="111" t="s">
        <v>130</v>
      </c>
      <c r="AW4" s="111" t="s">
        <v>131</v>
      </c>
      <c r="AX4" s="111" t="s">
        <v>132</v>
      </c>
      <c r="AY4" s="111" t="s">
        <v>133</v>
      </c>
      <c r="AZ4" s="111" t="s">
        <v>134</v>
      </c>
      <c r="BA4" s="112" t="s">
        <v>135</v>
      </c>
      <c r="BB4" s="111" t="s">
        <v>187</v>
      </c>
      <c r="BC4" s="110" t="s">
        <v>136</v>
      </c>
      <c r="BF4" s="102" t="s">
        <v>163</v>
      </c>
      <c r="BG4" s="103" t="s">
        <v>157</v>
      </c>
      <c r="BH4" s="103" t="s">
        <v>158</v>
      </c>
      <c r="BI4" s="103" t="s">
        <v>159</v>
      </c>
      <c r="BJ4" s="103" t="s">
        <v>160</v>
      </c>
      <c r="BK4" s="103" t="s">
        <v>161</v>
      </c>
      <c r="BL4" s="103" t="s">
        <v>162</v>
      </c>
    </row>
    <row r="5" spans="3:65" x14ac:dyDescent="0.25">
      <c r="AB5" s="3"/>
      <c r="AR5" s="113">
        <v>1</v>
      </c>
      <c r="AS5" s="114" t="s">
        <v>137</v>
      </c>
      <c r="AT5" s="115" t="s">
        <v>180</v>
      </c>
      <c r="AU5" s="115">
        <v>30000</v>
      </c>
      <c r="AV5" s="115"/>
      <c r="AW5" s="115" t="s">
        <v>186</v>
      </c>
      <c r="AX5" s="115"/>
      <c r="AY5" s="116"/>
      <c r="AZ5" s="115"/>
      <c r="BA5" s="116">
        <f>+AU5/30</f>
        <v>1000</v>
      </c>
      <c r="BB5" s="115"/>
      <c r="BC5" s="117"/>
      <c r="BF5" s="27" t="s">
        <v>164</v>
      </c>
      <c r="BG5" s="104">
        <v>7051</v>
      </c>
      <c r="BH5" s="104">
        <f>+BG5/30</f>
        <v>235.03333333333333</v>
      </c>
      <c r="BI5" s="104">
        <f>0.9*BG5</f>
        <v>6345.9000000000005</v>
      </c>
      <c r="BJ5" s="104">
        <f>+BI5*998*0.0329</f>
        <v>208362.54978</v>
      </c>
      <c r="BK5" s="104">
        <f>6.2*BJ5</f>
        <v>1291847.8086360001</v>
      </c>
      <c r="BL5" s="104">
        <f>+BK5*0.28</f>
        <v>361717.38641808007</v>
      </c>
      <c r="BM5" s="105">
        <f>+BL5/BH5</f>
        <v>1539.0046224000002</v>
      </c>
    </row>
    <row r="6" spans="3:65" x14ac:dyDescent="0.25">
      <c r="E6" s="1">
        <f>+C13+G9-H11-E15</f>
        <v>11850</v>
      </c>
      <c r="F6" s="1" t="s">
        <v>0</v>
      </c>
      <c r="AR6" s="118">
        <v>2</v>
      </c>
      <c r="AS6" s="106" t="s">
        <v>138</v>
      </c>
      <c r="AT6" s="107" t="s">
        <v>180</v>
      </c>
      <c r="AU6" s="107">
        <f>+AU5*0.881</f>
        <v>26430</v>
      </c>
      <c r="AV6" s="107"/>
      <c r="AW6" s="107">
        <v>0.4</v>
      </c>
      <c r="AX6" s="107">
        <v>2738.6</v>
      </c>
      <c r="AY6" s="108">
        <f t="shared" ref="AY6:AY29" si="0">+AX6*AU6/3600</f>
        <v>20105.888333333332</v>
      </c>
      <c r="AZ6" s="107"/>
      <c r="BA6" s="108">
        <f t="shared" ref="BA6:BA33" si="1">+AU6/30</f>
        <v>881</v>
      </c>
      <c r="BB6" s="107"/>
      <c r="BC6" s="119"/>
      <c r="BF6" s="27" t="s">
        <v>165</v>
      </c>
      <c r="BG6" s="104">
        <v>7403</v>
      </c>
      <c r="BH6" s="104">
        <f t="shared" ref="BH6:BH16" si="2">+BG6/30</f>
        <v>246.76666666666668</v>
      </c>
      <c r="BI6" s="104">
        <f t="shared" ref="BI6:BI16" si="3">0.9*BG6</f>
        <v>6662.7</v>
      </c>
      <c r="BJ6" s="104">
        <f t="shared" ref="BJ6:BJ16" si="4">+BI6*998*0.0329</f>
        <v>218764.42433999997</v>
      </c>
      <c r="BK6" s="104">
        <f t="shared" ref="BK6:BK16" si="5">6.2*BJ6</f>
        <v>1356339.4309079999</v>
      </c>
      <c r="BL6" s="104">
        <f t="shared" ref="BL6:BL16" si="6">+BK6*0.28</f>
        <v>379775.04065424</v>
      </c>
      <c r="BM6" s="105">
        <f t="shared" ref="BM6:BM16" si="7">+BL6/BH6</f>
        <v>1539.0046224</v>
      </c>
    </row>
    <row r="7" spans="3:65" x14ac:dyDescent="0.25">
      <c r="AR7" s="118">
        <v>3</v>
      </c>
      <c r="AS7" s="106" t="s">
        <v>139</v>
      </c>
      <c r="AT7" s="107" t="s">
        <v>181</v>
      </c>
      <c r="AU7" s="107">
        <f>0.039*AU5</f>
        <v>1170</v>
      </c>
      <c r="AV7" s="107"/>
      <c r="AW7" s="107" t="s">
        <v>186</v>
      </c>
      <c r="AX7" s="107"/>
      <c r="AY7" s="108"/>
      <c r="AZ7" s="107"/>
      <c r="BA7" s="108">
        <f t="shared" si="1"/>
        <v>39</v>
      </c>
      <c r="BB7" s="107"/>
      <c r="BC7" s="119"/>
      <c r="BF7" s="27" t="s">
        <v>166</v>
      </c>
      <c r="BG7" s="104">
        <v>18240.922999999999</v>
      </c>
      <c r="BH7" s="104">
        <f t="shared" si="2"/>
        <v>608.03076666666664</v>
      </c>
      <c r="BI7" s="104">
        <f>0.9*BG7</f>
        <v>16416.830699999999</v>
      </c>
      <c r="BJ7" s="104">
        <f t="shared" si="4"/>
        <v>539033.50256993994</v>
      </c>
      <c r="BK7" s="104">
        <f t="shared" si="5"/>
        <v>3342007.7159336279</v>
      </c>
      <c r="BL7" s="104">
        <f t="shared" si="6"/>
        <v>935762.16046141589</v>
      </c>
      <c r="BM7" s="105">
        <f t="shared" si="7"/>
        <v>1539.0046224000002</v>
      </c>
    </row>
    <row r="8" spans="3:65" x14ac:dyDescent="0.25">
      <c r="F8" s="98">
        <v>4</v>
      </c>
      <c r="M8" s="3">
        <f>(102+88+81)/3*C13/1000</f>
        <v>2710</v>
      </c>
      <c r="N8" s="1" t="s">
        <v>0</v>
      </c>
      <c r="Q8" s="1">
        <f>35*0.85*C13/1000</f>
        <v>892.5</v>
      </c>
      <c r="R8" s="1" t="s">
        <v>0</v>
      </c>
      <c r="U8" s="1">
        <f>45*C13/1000</f>
        <v>1350</v>
      </c>
      <c r="V8" s="1" t="s">
        <v>0</v>
      </c>
      <c r="Z8" s="3"/>
      <c r="AC8" s="3"/>
      <c r="AL8" s="1">
        <f>+AU12*0.5</f>
        <v>2068.29</v>
      </c>
      <c r="AM8" s="1">
        <v>90</v>
      </c>
      <c r="AR8" s="118">
        <v>4</v>
      </c>
      <c r="AS8" s="106" t="s">
        <v>177</v>
      </c>
      <c r="AT8" s="107" t="s">
        <v>178</v>
      </c>
      <c r="AU8" s="107">
        <f>+AU5+AU9-AU6-AU7</f>
        <v>11850</v>
      </c>
      <c r="AV8" s="107"/>
      <c r="AW8" s="107" t="s">
        <v>186</v>
      </c>
      <c r="AX8" s="107"/>
      <c r="AY8" s="108"/>
      <c r="AZ8" s="107"/>
      <c r="BA8" s="108">
        <f t="shared" si="1"/>
        <v>395</v>
      </c>
      <c r="BB8" s="107"/>
      <c r="BC8" s="119"/>
      <c r="BF8" s="27" t="s">
        <v>167</v>
      </c>
      <c r="BG8" s="104">
        <v>18565.827000000001</v>
      </c>
      <c r="BH8" s="104">
        <f t="shared" si="2"/>
        <v>618.86090000000002</v>
      </c>
      <c r="BI8" s="104">
        <f t="shared" si="3"/>
        <v>16709.244300000002</v>
      </c>
      <c r="BJ8" s="104">
        <f t="shared" si="4"/>
        <v>548634.66919506004</v>
      </c>
      <c r="BK8" s="104">
        <f t="shared" si="5"/>
        <v>3401534.9490093724</v>
      </c>
      <c r="BL8" s="104">
        <f t="shared" si="6"/>
        <v>952429.78572262439</v>
      </c>
      <c r="BM8" s="105">
        <f t="shared" si="7"/>
        <v>1539.0046224000002</v>
      </c>
    </row>
    <row r="9" spans="3:65" x14ac:dyDescent="0.25">
      <c r="G9" s="1">
        <f>0.315*C13</f>
        <v>9450</v>
      </c>
      <c r="H9" s="1" t="s">
        <v>0</v>
      </c>
      <c r="N9" s="99">
        <v>12</v>
      </c>
      <c r="R9" s="99">
        <v>16</v>
      </c>
      <c r="V9" s="101">
        <v>17</v>
      </c>
      <c r="AD9" s="1">
        <f>+AD10/30000</f>
        <v>6.1199999999999997E-2</v>
      </c>
      <c r="AH9" s="101">
        <v>8</v>
      </c>
      <c r="AL9" s="1">
        <f>+AL8*AM9/AM8</f>
        <v>2298.1</v>
      </c>
      <c r="AM9" s="1">
        <v>100</v>
      </c>
      <c r="AR9" s="118">
        <v>5</v>
      </c>
      <c r="AS9" s="106" t="s">
        <v>140</v>
      </c>
      <c r="AT9" s="107" t="s">
        <v>178</v>
      </c>
      <c r="AU9" s="107">
        <f>315*C13/1000</f>
        <v>9450</v>
      </c>
      <c r="AV9" s="107"/>
      <c r="AW9" s="107">
        <v>0.4</v>
      </c>
      <c r="AX9" s="107">
        <v>2738.6</v>
      </c>
      <c r="AY9" s="108">
        <f t="shared" si="0"/>
        <v>7188.8249999999998</v>
      </c>
      <c r="AZ9" s="107"/>
      <c r="BA9" s="108">
        <f t="shared" si="1"/>
        <v>315</v>
      </c>
      <c r="BB9" s="107"/>
      <c r="BC9" s="119"/>
      <c r="BF9" s="27" t="s">
        <v>168</v>
      </c>
      <c r="BG9" s="104">
        <v>17653.689999999999</v>
      </c>
      <c r="BH9" s="104">
        <f t="shared" si="2"/>
        <v>588.4563333333333</v>
      </c>
      <c r="BI9" s="104">
        <f t="shared" si="3"/>
        <v>15888.321</v>
      </c>
      <c r="BJ9" s="104">
        <f t="shared" si="4"/>
        <v>521680.30937819998</v>
      </c>
      <c r="BK9" s="104">
        <f t="shared" si="5"/>
        <v>3234417.9181448398</v>
      </c>
      <c r="BL9" s="104">
        <f t="shared" si="6"/>
        <v>905637.0170805552</v>
      </c>
      <c r="BM9" s="105">
        <f t="shared" si="7"/>
        <v>1539.0046224</v>
      </c>
    </row>
    <row r="10" spans="3:65" x14ac:dyDescent="0.25">
      <c r="G10" s="100">
        <v>5</v>
      </c>
      <c r="Z10" s="3"/>
      <c r="AD10" s="4">
        <v>1836</v>
      </c>
      <c r="AE10" s="1" t="s">
        <v>1</v>
      </c>
      <c r="AL10" s="1">
        <f>+AL9*0.1</f>
        <v>229.81</v>
      </c>
      <c r="AR10" s="118">
        <v>6</v>
      </c>
      <c r="AS10" s="106" t="s">
        <v>141</v>
      </c>
      <c r="AT10" s="107" t="s">
        <v>180</v>
      </c>
      <c r="AU10" s="107">
        <f>+AU6-AU11</f>
        <v>20400</v>
      </c>
      <c r="AV10" s="107"/>
      <c r="AW10" s="107"/>
      <c r="AX10" s="107"/>
      <c r="AY10" s="108"/>
      <c r="AZ10" s="107"/>
      <c r="BA10" s="108">
        <f t="shared" si="1"/>
        <v>680</v>
      </c>
      <c r="BB10" s="107"/>
      <c r="BC10" s="119"/>
      <c r="BF10" s="27" t="s">
        <v>169</v>
      </c>
      <c r="BG10" s="104">
        <v>15371.39</v>
      </c>
      <c r="BH10" s="104">
        <f t="shared" si="2"/>
        <v>512.37966666666659</v>
      </c>
      <c r="BI10" s="104">
        <f t="shared" si="3"/>
        <v>13834.251</v>
      </c>
      <c r="BJ10" s="104">
        <f t="shared" si="4"/>
        <v>454236.56418419996</v>
      </c>
      <c r="BK10" s="104">
        <f t="shared" si="5"/>
        <v>2816266.6979420399</v>
      </c>
      <c r="BL10" s="104">
        <f t="shared" si="6"/>
        <v>788554.67542377126</v>
      </c>
      <c r="BM10" s="105">
        <f t="shared" si="7"/>
        <v>1539.0046224000002</v>
      </c>
    </row>
    <row r="11" spans="3:65" x14ac:dyDescent="0.25">
      <c r="H11" s="1">
        <f>0.881*C13</f>
        <v>26430</v>
      </c>
      <c r="I11" s="1" t="s">
        <v>0</v>
      </c>
      <c r="K11" s="99">
        <v>6</v>
      </c>
      <c r="L11" s="1">
        <f>+H11-I15</f>
        <v>20400</v>
      </c>
      <c r="M11" s="1" t="s">
        <v>0</v>
      </c>
      <c r="O11" s="3">
        <f>+L11+M8+N16-M21</f>
        <v>20045.54</v>
      </c>
      <c r="P11" s="1" t="s">
        <v>0</v>
      </c>
      <c r="S11" s="1">
        <f>0.23*C13</f>
        <v>6900</v>
      </c>
      <c r="T11" s="1" t="s">
        <v>0</v>
      </c>
      <c r="X11" s="3">
        <f>+S11*0.95</f>
        <v>6555</v>
      </c>
      <c r="Y11" s="1" t="s">
        <v>0</v>
      </c>
      <c r="AD11" s="99">
        <v>9</v>
      </c>
      <c r="AF11" s="3">
        <f>+AU36*AX36/1000</f>
        <v>78831.901125077711</v>
      </c>
      <c r="AR11" s="118">
        <v>7</v>
      </c>
      <c r="AS11" s="106" t="s">
        <v>142</v>
      </c>
      <c r="AT11" s="107" t="s">
        <v>180</v>
      </c>
      <c r="AU11" s="107">
        <f>+AU5*0.201</f>
        <v>6030</v>
      </c>
      <c r="AV11" s="107"/>
      <c r="AW11" s="107"/>
      <c r="AX11" s="107"/>
      <c r="AY11" s="108"/>
      <c r="AZ11" s="107"/>
      <c r="BA11" s="108">
        <f t="shared" si="1"/>
        <v>201</v>
      </c>
      <c r="BB11" s="107"/>
      <c r="BC11" s="119"/>
      <c r="BF11" s="27" t="s">
        <v>170</v>
      </c>
      <c r="BG11" s="104">
        <v>14873.19</v>
      </c>
      <c r="BH11" s="104">
        <f t="shared" si="2"/>
        <v>495.77300000000002</v>
      </c>
      <c r="BI11" s="104">
        <f t="shared" si="3"/>
        <v>13385.871000000001</v>
      </c>
      <c r="BJ11" s="104">
        <f t="shared" si="4"/>
        <v>439514.36558820005</v>
      </c>
      <c r="BK11" s="104">
        <f t="shared" si="5"/>
        <v>2724989.0666468404</v>
      </c>
      <c r="BL11" s="104">
        <f t="shared" si="6"/>
        <v>762996.93866111536</v>
      </c>
      <c r="BM11" s="105">
        <f t="shared" si="7"/>
        <v>1539.0046224000002</v>
      </c>
    </row>
    <row r="12" spans="3:65" x14ac:dyDescent="0.25">
      <c r="V12" s="99">
        <v>19</v>
      </c>
      <c r="AR12" s="118">
        <v>8</v>
      </c>
      <c r="AS12" s="106" t="s">
        <v>35</v>
      </c>
      <c r="AT12" s="107" t="s">
        <v>182</v>
      </c>
      <c r="AU12" s="108">
        <f>+AU11*0.686</f>
        <v>4136.58</v>
      </c>
      <c r="AV12" s="107"/>
      <c r="AW12" s="107"/>
      <c r="AX12" s="107"/>
      <c r="AY12" s="108"/>
      <c r="AZ12" s="107"/>
      <c r="BA12" s="108">
        <f t="shared" si="1"/>
        <v>137.886</v>
      </c>
      <c r="BB12" s="107"/>
      <c r="BC12" s="120">
        <f>+AU12</f>
        <v>4136.58</v>
      </c>
      <c r="BF12" s="27" t="s">
        <v>171</v>
      </c>
      <c r="BG12" s="104">
        <v>13357.5</v>
      </c>
      <c r="BH12" s="104">
        <f t="shared" si="2"/>
        <v>445.25</v>
      </c>
      <c r="BI12" s="104">
        <f t="shared" si="3"/>
        <v>12021.75</v>
      </c>
      <c r="BJ12" s="104">
        <f t="shared" si="4"/>
        <v>394724.54384999996</v>
      </c>
      <c r="BK12" s="104">
        <f t="shared" si="5"/>
        <v>2447292.1718699997</v>
      </c>
      <c r="BL12" s="104">
        <f t="shared" si="6"/>
        <v>685241.80812359997</v>
      </c>
      <c r="BM12" s="105">
        <f t="shared" si="7"/>
        <v>1539.0046224</v>
      </c>
    </row>
    <row r="13" spans="3:65" x14ac:dyDescent="0.25">
      <c r="C13" s="1">
        <v>30000</v>
      </c>
      <c r="D13" s="1" t="s">
        <v>0</v>
      </c>
      <c r="E13" s="98">
        <v>1</v>
      </c>
      <c r="I13" s="98">
        <v>2</v>
      </c>
      <c r="O13" s="99"/>
      <c r="P13" s="98">
        <v>10</v>
      </c>
      <c r="T13" s="98">
        <v>14</v>
      </c>
      <c r="V13" s="99"/>
      <c r="X13" s="3"/>
      <c r="AR13" s="118">
        <v>9</v>
      </c>
      <c r="AS13" s="106" t="s">
        <v>143</v>
      </c>
      <c r="AT13" s="107" t="s">
        <v>179</v>
      </c>
      <c r="AU13" s="108">
        <f>+AU11-AU12</f>
        <v>1893.42</v>
      </c>
      <c r="AV13" s="107"/>
      <c r="AW13" s="107"/>
      <c r="AX13" s="107"/>
      <c r="AY13" s="108"/>
      <c r="AZ13" s="107"/>
      <c r="BA13" s="108">
        <f t="shared" si="1"/>
        <v>63.114000000000004</v>
      </c>
      <c r="BB13" s="107"/>
      <c r="BC13" s="119"/>
      <c r="BF13" s="27" t="s">
        <v>172</v>
      </c>
      <c r="BG13" s="104">
        <v>13283.584999999999</v>
      </c>
      <c r="BH13" s="104">
        <f t="shared" si="2"/>
        <v>442.78616666666665</v>
      </c>
      <c r="BI13" s="104">
        <f t="shared" si="3"/>
        <v>11955.226499999999</v>
      </c>
      <c r="BJ13" s="104">
        <f t="shared" si="4"/>
        <v>392540.29794629995</v>
      </c>
      <c r="BK13" s="104">
        <f t="shared" si="5"/>
        <v>2433749.8472670596</v>
      </c>
      <c r="BL13" s="104">
        <f t="shared" si="6"/>
        <v>681449.95723477681</v>
      </c>
      <c r="BM13" s="105">
        <f t="shared" si="7"/>
        <v>1539.0046224</v>
      </c>
    </row>
    <row r="14" spans="3:65" x14ac:dyDescent="0.25">
      <c r="L14" s="1">
        <f>+L15*30</f>
        <v>3015</v>
      </c>
      <c r="N14" s="101">
        <v>11</v>
      </c>
      <c r="O14" s="98">
        <v>13</v>
      </c>
      <c r="P14" s="99">
        <v>17</v>
      </c>
      <c r="R14" s="98">
        <v>15</v>
      </c>
      <c r="V14" s="99"/>
      <c r="AR14" s="118">
        <v>10</v>
      </c>
      <c r="AS14" s="106" t="s">
        <v>144</v>
      </c>
      <c r="AT14" s="107" t="s">
        <v>179</v>
      </c>
      <c r="AU14" s="108">
        <f>+AU10+AU16+AU17-AU15</f>
        <v>19599</v>
      </c>
      <c r="AV14" s="107"/>
      <c r="AW14" s="107"/>
      <c r="AX14" s="107"/>
      <c r="AY14" s="108"/>
      <c r="AZ14" s="107"/>
      <c r="BA14" s="108">
        <f t="shared" si="1"/>
        <v>653.29999999999995</v>
      </c>
      <c r="BB14" s="107"/>
      <c r="BC14" s="119"/>
      <c r="BF14" s="27" t="s">
        <v>173</v>
      </c>
      <c r="BG14" s="104">
        <v>13209.67</v>
      </c>
      <c r="BH14" s="104">
        <f t="shared" si="2"/>
        <v>440.32233333333335</v>
      </c>
      <c r="BI14" s="104">
        <f t="shared" si="3"/>
        <v>11888.703</v>
      </c>
      <c r="BJ14" s="104">
        <f t="shared" si="4"/>
        <v>390356.05204259994</v>
      </c>
      <c r="BK14" s="104">
        <f t="shared" si="5"/>
        <v>2420207.5226641195</v>
      </c>
      <c r="BL14" s="104">
        <f t="shared" si="6"/>
        <v>677658.10634595354</v>
      </c>
      <c r="BM14" s="105">
        <f t="shared" si="7"/>
        <v>1539.0046223999998</v>
      </c>
    </row>
    <row r="15" spans="3:65" x14ac:dyDescent="0.25">
      <c r="E15" s="1">
        <f>0.039*C13</f>
        <v>1170</v>
      </c>
      <c r="F15" s="99">
        <v>3</v>
      </c>
      <c r="I15" s="1">
        <f>0.201*C13</f>
        <v>6030</v>
      </c>
      <c r="J15" s="1" t="s">
        <v>0</v>
      </c>
      <c r="L15" s="1">
        <f>3.35*C13/1000</f>
        <v>100.5</v>
      </c>
      <c r="M15" s="1" t="s">
        <v>1</v>
      </c>
      <c r="T15" s="99">
        <v>18</v>
      </c>
      <c r="AA15" s="98"/>
      <c r="AB15" s="98"/>
      <c r="AD15" s="95"/>
      <c r="AR15" s="118">
        <v>11</v>
      </c>
      <c r="AS15" s="106" t="s">
        <v>145</v>
      </c>
      <c r="AT15" s="107" t="s">
        <v>180</v>
      </c>
      <c r="AU15" s="108">
        <f>+AU24+AU25</f>
        <v>7710</v>
      </c>
      <c r="AV15" s="107"/>
      <c r="AW15" s="107"/>
      <c r="AX15" s="107"/>
      <c r="AY15" s="108"/>
      <c r="AZ15" s="107"/>
      <c r="BA15" s="108">
        <f t="shared" si="1"/>
        <v>257</v>
      </c>
      <c r="BB15" s="107"/>
      <c r="BC15" s="119"/>
      <c r="BF15" s="27" t="s">
        <v>174</v>
      </c>
      <c r="BG15" s="104">
        <v>18352.28</v>
      </c>
      <c r="BH15" s="104">
        <f t="shared" si="2"/>
        <v>611.74266666666665</v>
      </c>
      <c r="BI15" s="104">
        <f t="shared" si="3"/>
        <v>16517.052</v>
      </c>
      <c r="BJ15" s="104">
        <f t="shared" si="4"/>
        <v>542324.18877839996</v>
      </c>
      <c r="BK15" s="104">
        <f t="shared" si="5"/>
        <v>3362409.9704260798</v>
      </c>
      <c r="BL15" s="104">
        <f t="shared" si="6"/>
        <v>941474.79171930242</v>
      </c>
      <c r="BM15" s="105">
        <f t="shared" si="7"/>
        <v>1539.0046224</v>
      </c>
    </row>
    <row r="16" spans="3:65" x14ac:dyDescent="0.25">
      <c r="N16" s="1">
        <f>0.14*C13</f>
        <v>4200</v>
      </c>
      <c r="O16" s="1" t="s">
        <v>0</v>
      </c>
      <c r="P16" s="1">
        <f>180*C13/1000</f>
        <v>5400</v>
      </c>
      <c r="Q16" s="1" t="s">
        <v>0</v>
      </c>
      <c r="S16" s="3">
        <f>45*C13/1000</f>
        <v>1350</v>
      </c>
      <c r="T16" s="1" t="s">
        <v>0</v>
      </c>
      <c r="W16" s="1">
        <f>+U17*30</f>
        <v>180</v>
      </c>
      <c r="AF16" s="101">
        <v>1</v>
      </c>
      <c r="AH16" s="101">
        <v>2</v>
      </c>
      <c r="AK16" s="1">
        <v>4137</v>
      </c>
      <c r="AL16" s="1" t="s">
        <v>0</v>
      </c>
      <c r="AR16" s="118">
        <v>12</v>
      </c>
      <c r="AS16" s="106" t="s">
        <v>140</v>
      </c>
      <c r="AT16" s="107" t="s">
        <v>178</v>
      </c>
      <c r="AU16" s="107">
        <f>90.3*AU5/1000</f>
        <v>2709</v>
      </c>
      <c r="AV16" s="107"/>
      <c r="AW16" s="107">
        <v>0.4</v>
      </c>
      <c r="AX16" s="107">
        <v>2738.6</v>
      </c>
      <c r="AY16" s="108">
        <f t="shared" si="0"/>
        <v>2060.7964999999999</v>
      </c>
      <c r="AZ16" s="107"/>
      <c r="BA16" s="108">
        <f t="shared" si="1"/>
        <v>90.3</v>
      </c>
      <c r="BB16" s="107"/>
      <c r="BC16" s="119"/>
      <c r="BF16" s="27" t="s">
        <v>175</v>
      </c>
      <c r="BG16" s="104">
        <v>16130</v>
      </c>
      <c r="BH16" s="104">
        <f t="shared" si="2"/>
        <v>537.66666666666663</v>
      </c>
      <c r="BI16" s="104">
        <f t="shared" si="3"/>
        <v>14517</v>
      </c>
      <c r="BJ16" s="104">
        <f t="shared" si="4"/>
        <v>476654.08139999997</v>
      </c>
      <c r="BK16" s="104">
        <f t="shared" si="5"/>
        <v>2955255.3046800001</v>
      </c>
      <c r="BL16" s="104">
        <f t="shared" si="6"/>
        <v>827471.48531040014</v>
      </c>
      <c r="BM16" s="105">
        <f t="shared" si="7"/>
        <v>1539.0046224000005</v>
      </c>
    </row>
    <row r="17" spans="4:63" x14ac:dyDescent="0.25">
      <c r="U17" s="1">
        <f>0.0002*C13</f>
        <v>6</v>
      </c>
      <c r="V17" s="1" t="s">
        <v>1</v>
      </c>
      <c r="AR17" s="118">
        <v>13</v>
      </c>
      <c r="AS17" s="106" t="s">
        <v>146</v>
      </c>
      <c r="AT17" s="107" t="s">
        <v>183</v>
      </c>
      <c r="AU17" s="107">
        <f>0.14*AU5</f>
        <v>4200</v>
      </c>
      <c r="AV17" s="107"/>
      <c r="AW17" s="107"/>
      <c r="AX17" s="107"/>
      <c r="AY17" s="108"/>
      <c r="AZ17" s="107"/>
      <c r="BA17" s="108">
        <f t="shared" si="1"/>
        <v>140</v>
      </c>
      <c r="BB17" s="107"/>
      <c r="BC17" s="119"/>
    </row>
    <row r="18" spans="4:63" x14ac:dyDescent="0.25">
      <c r="F18" s="1">
        <f>2.64*C13/1000</f>
        <v>79.2</v>
      </c>
      <c r="G18" s="1" t="s">
        <v>1</v>
      </c>
      <c r="J18" s="1">
        <f>0.0007*C13</f>
        <v>21</v>
      </c>
      <c r="K18" s="1" t="s">
        <v>1</v>
      </c>
      <c r="P18" s="3">
        <f>+O11+Q8+P16-S11+L24</f>
        <v>21331.46</v>
      </c>
      <c r="Q18" s="1" t="s">
        <v>0</v>
      </c>
      <c r="R18" s="1">
        <f>2.2*C13/1000*0.8</f>
        <v>52.800000000000004</v>
      </c>
      <c r="S18" s="1" t="s">
        <v>7</v>
      </c>
      <c r="AK18" s="99">
        <v>8</v>
      </c>
      <c r="AR18" s="118">
        <v>14</v>
      </c>
      <c r="AS18" s="106" t="s">
        <v>147</v>
      </c>
      <c r="AT18" s="107" t="s">
        <v>179</v>
      </c>
      <c r="AU18" s="107">
        <f>0.23*AU5</f>
        <v>6900</v>
      </c>
      <c r="AV18" s="107"/>
      <c r="AW18" s="107"/>
      <c r="AX18" s="107"/>
      <c r="AY18" s="108"/>
      <c r="AZ18" s="107"/>
      <c r="BA18" s="108">
        <f t="shared" si="1"/>
        <v>230</v>
      </c>
      <c r="BB18" s="107"/>
      <c r="BC18" s="119"/>
    </row>
    <row r="19" spans="4:63" x14ac:dyDescent="0.25">
      <c r="AR19" s="118">
        <v>15</v>
      </c>
      <c r="AS19" s="106" t="s">
        <v>153</v>
      </c>
      <c r="AT19" s="107" t="s">
        <v>179</v>
      </c>
      <c r="AU19" s="108">
        <f>AU13+AU14+AU20-AU18+AU21</f>
        <v>19264.919999999998</v>
      </c>
      <c r="AV19" s="107"/>
      <c r="AW19" s="107"/>
      <c r="AX19" s="107"/>
      <c r="AY19" s="108"/>
      <c r="AZ19" s="107"/>
      <c r="BA19" s="108">
        <f t="shared" si="1"/>
        <v>642.16399999999999</v>
      </c>
      <c r="BB19" s="107"/>
      <c r="BC19" s="119"/>
      <c r="BF19" t="s">
        <v>189</v>
      </c>
    </row>
    <row r="20" spans="4:63" x14ac:dyDescent="0.25">
      <c r="D20" s="1">
        <f>0.0002*C13</f>
        <v>6</v>
      </c>
      <c r="E20" s="1" t="s">
        <v>1</v>
      </c>
      <c r="H20" s="1">
        <f>0.0011*C13</f>
        <v>33</v>
      </c>
      <c r="I20" s="1" t="s">
        <v>1</v>
      </c>
      <c r="N20" s="101"/>
      <c r="U20" s="99"/>
      <c r="AC20" s="99"/>
      <c r="AD20" s="3"/>
      <c r="AM20" s="1" t="s">
        <v>197</v>
      </c>
      <c r="AR20" s="118">
        <v>16</v>
      </c>
      <c r="AS20" s="106" t="s">
        <v>148</v>
      </c>
      <c r="AT20" s="107" t="s">
        <v>178</v>
      </c>
      <c r="AU20" s="108">
        <f>35*AU5/1000*0.85</f>
        <v>892.5</v>
      </c>
      <c r="AV20" s="107"/>
      <c r="AW20" s="107">
        <v>0.4</v>
      </c>
      <c r="AX20" s="107">
        <v>2738.6</v>
      </c>
      <c r="AY20" s="108">
        <f t="shared" si="0"/>
        <v>678.9445833333333</v>
      </c>
      <c r="AZ20" s="107"/>
      <c r="BA20" s="108">
        <f t="shared" si="1"/>
        <v>29.75</v>
      </c>
      <c r="BB20" s="107"/>
      <c r="BC20" s="119"/>
      <c r="BF20" t="s">
        <v>188</v>
      </c>
      <c r="BG20" s="10">
        <f>+((AU12*0.65*BG24*(BG27-BG26))+(AU12*(1-0.65)*BG23*(BG27-BG26)))/1000</f>
        <v>398.46434166</v>
      </c>
      <c r="BI20" t="s">
        <v>195</v>
      </c>
      <c r="BJ20" s="10">
        <f>+BG20+BG21</f>
        <v>735.64235501400003</v>
      </c>
      <c r="BK20" t="s">
        <v>5</v>
      </c>
    </row>
    <row r="21" spans="4:63" x14ac:dyDescent="0.25">
      <c r="J21" s="99">
        <v>7</v>
      </c>
      <c r="M21" s="3">
        <f>(+L11+M8+N16)*0.266</f>
        <v>7264.46</v>
      </c>
      <c r="N21" s="1" t="s">
        <v>0</v>
      </c>
      <c r="O21" s="1">
        <f>2.27*C13/1000</f>
        <v>68.099999999999994</v>
      </c>
      <c r="Q21" s="1">
        <f>2.2*C13/1000</f>
        <v>66</v>
      </c>
      <c r="R21" s="1" t="s">
        <v>1</v>
      </c>
      <c r="AA21" s="100">
        <v>7</v>
      </c>
      <c r="AC21" s="1">
        <f>+R29+U8</f>
        <v>3180</v>
      </c>
      <c r="AD21" s="1" t="s">
        <v>0</v>
      </c>
      <c r="AR21" s="118">
        <v>17</v>
      </c>
      <c r="AS21" s="106" t="s">
        <v>146</v>
      </c>
      <c r="AT21" s="107" t="s">
        <v>183</v>
      </c>
      <c r="AU21" s="107">
        <f>180*AU5/1000*0.7</f>
        <v>3779.9999999999995</v>
      </c>
      <c r="AV21" s="107"/>
      <c r="AW21" s="107">
        <v>0.4</v>
      </c>
      <c r="AX21" s="107">
        <v>2738.6</v>
      </c>
      <c r="AY21" s="108">
        <f t="shared" si="0"/>
        <v>2875.5299999999993</v>
      </c>
      <c r="AZ21" s="107"/>
      <c r="BA21" s="108">
        <f t="shared" si="1"/>
        <v>125.99999999999999</v>
      </c>
      <c r="BB21" s="107"/>
      <c r="BC21" s="119"/>
      <c r="BF21" t="s">
        <v>190</v>
      </c>
      <c r="BG21" s="10">
        <f>+(AU12*0.65*(BH27-BH26))/1000</f>
        <v>337.17801335400003</v>
      </c>
    </row>
    <row r="22" spans="4:63" x14ac:dyDescent="0.25">
      <c r="G22" s="3">
        <f>+P18+S16+S33+R35</f>
        <v>22681.46</v>
      </c>
      <c r="H22" s="1" t="s">
        <v>0</v>
      </c>
      <c r="AC22" s="101">
        <v>8</v>
      </c>
      <c r="AE22" s="2"/>
      <c r="AH22" s="97"/>
      <c r="AI22" s="101">
        <v>3</v>
      </c>
      <c r="AR22" s="118">
        <v>18</v>
      </c>
      <c r="AS22" s="106" t="s">
        <v>140</v>
      </c>
      <c r="AT22" s="107" t="s">
        <v>183</v>
      </c>
      <c r="AU22" s="107">
        <f>45*AU5/1000</f>
        <v>1350</v>
      </c>
      <c r="AV22" s="107"/>
      <c r="AW22" s="107"/>
      <c r="AX22" s="107"/>
      <c r="AY22" s="108"/>
      <c r="AZ22" s="107"/>
      <c r="BA22" s="108">
        <f t="shared" si="1"/>
        <v>45</v>
      </c>
      <c r="BB22" s="107"/>
      <c r="BC22" s="119"/>
    </row>
    <row r="23" spans="4:63" x14ac:dyDescent="0.25">
      <c r="K23" s="99">
        <v>9</v>
      </c>
      <c r="AR23" s="118">
        <v>19</v>
      </c>
      <c r="AS23" s="106" t="s">
        <v>149</v>
      </c>
      <c r="AT23" s="107" t="s">
        <v>179</v>
      </c>
      <c r="AU23" s="107">
        <f>+AU18*0.95</f>
        <v>6555</v>
      </c>
      <c r="AV23" s="107"/>
      <c r="AW23" s="107"/>
      <c r="AX23" s="107"/>
      <c r="AY23" s="108"/>
      <c r="AZ23" s="107"/>
      <c r="BA23" s="108">
        <f t="shared" si="1"/>
        <v>218.5</v>
      </c>
      <c r="BB23" s="107"/>
      <c r="BC23" s="119"/>
      <c r="BF23" t="s">
        <v>191</v>
      </c>
      <c r="BG23" s="129">
        <v>1.4</v>
      </c>
    </row>
    <row r="24" spans="4:63" x14ac:dyDescent="0.25">
      <c r="L24" s="1">
        <f>+I15-I30</f>
        <v>1893.42</v>
      </c>
      <c r="M24" s="1" t="s">
        <v>0</v>
      </c>
      <c r="O24" s="3">
        <f>+M21-M29</f>
        <v>3334.46</v>
      </c>
      <c r="P24" s="1" t="s">
        <v>0</v>
      </c>
      <c r="S24" s="96">
        <f>+O24-R29</f>
        <v>1504.46</v>
      </c>
      <c r="T24" s="1" t="s">
        <v>0</v>
      </c>
      <c r="AB24" s="3"/>
      <c r="AF24" s="98"/>
      <c r="AR24" s="118">
        <v>20</v>
      </c>
      <c r="AS24" s="106" t="s">
        <v>23</v>
      </c>
      <c r="AT24" s="107" t="s">
        <v>181</v>
      </c>
      <c r="AU24" s="107">
        <f>0.131*AU5</f>
        <v>3930</v>
      </c>
      <c r="AV24" s="107"/>
      <c r="AW24" s="107"/>
      <c r="AX24" s="107"/>
      <c r="AY24" s="108"/>
      <c r="AZ24" s="107"/>
      <c r="BA24" s="108">
        <f t="shared" si="1"/>
        <v>131</v>
      </c>
      <c r="BB24" s="107"/>
      <c r="BC24" s="119">
        <f>+AU24*0.2</f>
        <v>786</v>
      </c>
      <c r="BF24" t="s">
        <v>192</v>
      </c>
      <c r="BG24" s="129">
        <v>4.1859999999999999</v>
      </c>
    </row>
    <row r="25" spans="4:63" x14ac:dyDescent="0.25">
      <c r="P25" s="1">
        <v>21</v>
      </c>
      <c r="S25" s="1">
        <v>22</v>
      </c>
      <c r="T25" s="98"/>
      <c r="W25" s="7">
        <f>(+D20+F18+H20+J18+L15+Q21+O21+R18+U17+K38)*1.1</f>
        <v>475.86</v>
      </c>
      <c r="X25" s="1" t="s">
        <v>1</v>
      </c>
      <c r="AB25" s="99"/>
      <c r="AR25" s="118">
        <v>21</v>
      </c>
      <c r="AS25" s="106" t="s">
        <v>150</v>
      </c>
      <c r="AT25" s="107" t="s">
        <v>180</v>
      </c>
      <c r="AU25" s="108">
        <f>0.126*AU5</f>
        <v>3780</v>
      </c>
      <c r="AV25" s="107"/>
      <c r="AW25" s="107"/>
      <c r="AX25" s="107"/>
      <c r="AY25" s="108"/>
      <c r="AZ25" s="107"/>
      <c r="BA25" s="108">
        <f t="shared" si="1"/>
        <v>126</v>
      </c>
      <c r="BB25" s="107"/>
      <c r="BC25" s="119"/>
    </row>
    <row r="26" spans="4:63" x14ac:dyDescent="0.25">
      <c r="W26" s="1">
        <f>+W25/30</f>
        <v>15.862</v>
      </c>
      <c r="AD26" s="99"/>
      <c r="AF26" s="2"/>
      <c r="AG26" s="98">
        <v>4</v>
      </c>
      <c r="AH26" s="128"/>
      <c r="AR26" s="118">
        <v>22</v>
      </c>
      <c r="AS26" s="106" t="s">
        <v>151</v>
      </c>
      <c r="AT26" s="107" t="s">
        <v>180</v>
      </c>
      <c r="AU26" s="108">
        <f>+AU25-AU27</f>
        <v>1950</v>
      </c>
      <c r="AV26" s="107"/>
      <c r="AW26" s="107"/>
      <c r="AX26" s="107"/>
      <c r="AY26" s="108"/>
      <c r="AZ26" s="107"/>
      <c r="BA26" s="108">
        <f t="shared" si="1"/>
        <v>65</v>
      </c>
      <c r="BB26" s="107"/>
      <c r="BC26" s="119"/>
      <c r="BF26" t="s">
        <v>193</v>
      </c>
      <c r="BG26">
        <v>25</v>
      </c>
      <c r="BH26" s="10">
        <v>104.83799999999999</v>
      </c>
    </row>
    <row r="27" spans="4:63" x14ac:dyDescent="0.25">
      <c r="G27" s="99"/>
      <c r="J27" s="99">
        <v>8</v>
      </c>
      <c r="N27" s="99">
        <v>20</v>
      </c>
      <c r="R27" s="99"/>
      <c r="S27" s="99">
        <v>24</v>
      </c>
      <c r="AR27" s="118">
        <v>23</v>
      </c>
      <c r="AS27" s="106" t="s">
        <v>24</v>
      </c>
      <c r="AT27" s="107" t="s">
        <v>180</v>
      </c>
      <c r="AU27" s="107">
        <f>0.061*AU5</f>
        <v>1830</v>
      </c>
      <c r="AV27" s="107"/>
      <c r="AW27" s="107"/>
      <c r="AX27" s="107"/>
      <c r="AY27" s="108"/>
      <c r="AZ27" s="107"/>
      <c r="BA27" s="108">
        <f t="shared" si="1"/>
        <v>61</v>
      </c>
      <c r="BB27" s="107"/>
      <c r="BC27" s="119">
        <f>+AU27*0.2</f>
        <v>366</v>
      </c>
      <c r="BF27" t="s">
        <v>194</v>
      </c>
      <c r="BG27">
        <v>55</v>
      </c>
      <c r="BH27" s="10">
        <v>230.24</v>
      </c>
    </row>
    <row r="28" spans="4:63" x14ac:dyDescent="0.25">
      <c r="F28" s="99"/>
      <c r="U28" s="98"/>
      <c r="AK28" s="101">
        <v>11</v>
      </c>
      <c r="AR28" s="118">
        <v>24</v>
      </c>
      <c r="AS28" s="106" t="s">
        <v>140</v>
      </c>
      <c r="AT28" s="107" t="s">
        <v>178</v>
      </c>
      <c r="AU28" s="107">
        <f>50*AU5/1000</f>
        <v>1500</v>
      </c>
      <c r="AV28" s="107"/>
      <c r="AW28" s="107">
        <v>0.4</v>
      </c>
      <c r="AX28" s="107">
        <v>2738.6</v>
      </c>
      <c r="AY28" s="108">
        <f t="shared" si="0"/>
        <v>1141.0833333333333</v>
      </c>
      <c r="AZ28" s="107"/>
      <c r="BA28" s="108">
        <f t="shared" si="1"/>
        <v>50</v>
      </c>
      <c r="BB28" s="107"/>
      <c r="BC28" s="119"/>
    </row>
    <row r="29" spans="4:63" x14ac:dyDescent="0.25">
      <c r="M29" s="1">
        <f>0.131*C13</f>
        <v>3930</v>
      </c>
      <c r="N29" s="1" t="s">
        <v>0</v>
      </c>
      <c r="R29" s="4">
        <f>0.061*C13</f>
        <v>1830</v>
      </c>
      <c r="S29" s="1" t="s">
        <v>0</v>
      </c>
      <c r="AR29" s="118">
        <v>25</v>
      </c>
      <c r="AS29" s="106" t="s">
        <v>140</v>
      </c>
      <c r="AT29" s="107" t="s">
        <v>178</v>
      </c>
      <c r="AU29" s="107">
        <f>36*AU5/1000</f>
        <v>1080</v>
      </c>
      <c r="AV29" s="107"/>
      <c r="AW29" s="107">
        <v>0.4</v>
      </c>
      <c r="AX29" s="107">
        <v>2738.6</v>
      </c>
      <c r="AY29" s="108">
        <f t="shared" si="0"/>
        <v>821.58</v>
      </c>
      <c r="AZ29" s="107"/>
      <c r="BA29" s="108">
        <f t="shared" si="1"/>
        <v>36</v>
      </c>
      <c r="BB29" s="107"/>
      <c r="BC29" s="119"/>
    </row>
    <row r="30" spans="4:63" x14ac:dyDescent="0.25">
      <c r="I30" s="3">
        <f>+I15*0.686</f>
        <v>4136.58</v>
      </c>
      <c r="J30" s="1" t="s">
        <v>0</v>
      </c>
      <c r="AJ30" s="101">
        <v>10</v>
      </c>
      <c r="AM30" s="101">
        <v>12</v>
      </c>
      <c r="AR30" s="118">
        <v>26</v>
      </c>
      <c r="AS30" s="106" t="s">
        <v>146</v>
      </c>
      <c r="AT30" s="107" t="s">
        <v>183</v>
      </c>
      <c r="AU30" s="107">
        <f>+AU17+AU21</f>
        <v>7980</v>
      </c>
      <c r="AV30" s="107">
        <v>80</v>
      </c>
      <c r="AW30" s="107" t="s">
        <v>186</v>
      </c>
      <c r="AX30" s="107"/>
      <c r="AY30" s="108"/>
      <c r="AZ30" s="107"/>
      <c r="BA30" s="108">
        <f t="shared" si="1"/>
        <v>266</v>
      </c>
      <c r="BB30" s="107"/>
      <c r="BC30" s="119"/>
    </row>
    <row r="31" spans="4:63" x14ac:dyDescent="0.25">
      <c r="U31" s="3"/>
      <c r="AR31" s="118">
        <v>27</v>
      </c>
      <c r="AS31" s="106" t="s">
        <v>146</v>
      </c>
      <c r="AT31" s="107" t="s">
        <v>183</v>
      </c>
      <c r="AU31" s="107">
        <v>1731</v>
      </c>
      <c r="AV31" s="107">
        <v>25</v>
      </c>
      <c r="AW31" s="107" t="s">
        <v>186</v>
      </c>
      <c r="AX31" s="107"/>
      <c r="AY31" s="108"/>
      <c r="AZ31" s="107"/>
      <c r="BA31" s="108">
        <f t="shared" si="1"/>
        <v>57.7</v>
      </c>
      <c r="BB31" s="107"/>
      <c r="BC31" s="119"/>
    </row>
    <row r="32" spans="4:63" x14ac:dyDescent="0.25">
      <c r="O32" s="99">
        <v>26</v>
      </c>
      <c r="AC32" s="3"/>
      <c r="AR32" s="118">
        <v>28</v>
      </c>
      <c r="AS32" s="106" t="s">
        <v>146</v>
      </c>
      <c r="AT32" s="107" t="s">
        <v>183</v>
      </c>
      <c r="AU32" s="107">
        <f>+AU30+AU31</f>
        <v>9711</v>
      </c>
      <c r="AV32" s="107">
        <v>80</v>
      </c>
      <c r="AW32" s="107" t="s">
        <v>186</v>
      </c>
      <c r="AX32" s="107"/>
      <c r="AY32" s="108"/>
      <c r="AZ32" s="107"/>
      <c r="BA32" s="108">
        <f t="shared" si="1"/>
        <v>323.7</v>
      </c>
      <c r="BB32" s="107"/>
      <c r="BC32" s="119"/>
    </row>
    <row r="33" spans="5:59" ht="12.6" thickBot="1" x14ac:dyDescent="0.3">
      <c r="M33" s="99"/>
      <c r="T33" s="1" t="s">
        <v>0</v>
      </c>
      <c r="AC33" s="97"/>
      <c r="AR33" s="121">
        <v>29</v>
      </c>
      <c r="AS33" s="122" t="s">
        <v>152</v>
      </c>
      <c r="AT33" s="123" t="s">
        <v>179</v>
      </c>
      <c r="AU33" s="124">
        <f>+AU19+AU22+AU28+AU29+AU7</f>
        <v>24364.92</v>
      </c>
      <c r="AV33" s="125">
        <v>95</v>
      </c>
      <c r="AW33" s="123" t="s">
        <v>186</v>
      </c>
      <c r="AX33" s="123"/>
      <c r="AY33" s="124"/>
      <c r="AZ33" s="123"/>
      <c r="BA33" s="124">
        <f t="shared" si="1"/>
        <v>812.16399999999999</v>
      </c>
      <c r="BB33" s="123"/>
      <c r="BC33" s="126"/>
      <c r="BD33" s="11"/>
      <c r="BE33" s="11"/>
      <c r="BF33" s="11"/>
      <c r="BG33" s="11"/>
    </row>
    <row r="34" spans="5:59" x14ac:dyDescent="0.25">
      <c r="F34" s="99">
        <v>29</v>
      </c>
      <c r="M34" s="3"/>
      <c r="AV34" s="14"/>
      <c r="AW34" s="14"/>
      <c r="BA34" s="127"/>
      <c r="BD34" s="11"/>
      <c r="BE34" s="11"/>
      <c r="BF34" s="11"/>
      <c r="BG34" s="11"/>
    </row>
    <row r="35" spans="5:59" x14ac:dyDescent="0.25">
      <c r="E35" s="3">
        <f>+E15+G22</f>
        <v>23851.46</v>
      </c>
      <c r="F35" s="1" t="s">
        <v>0</v>
      </c>
      <c r="AG35" s="101">
        <v>5</v>
      </c>
    </row>
    <row r="36" spans="5:59" x14ac:dyDescent="0.25">
      <c r="AH36" s="101">
        <v>6</v>
      </c>
      <c r="AR36" s="102">
        <v>1</v>
      </c>
      <c r="AS36" s="106" t="s">
        <v>154</v>
      </c>
      <c r="AT36" s="107" t="s">
        <v>180</v>
      </c>
      <c r="AU36" s="108">
        <f>+AU24+AU27</f>
        <v>5760</v>
      </c>
      <c r="AV36" s="107"/>
      <c r="AW36" s="107"/>
      <c r="AX36" s="108">
        <f>+((AU24*Biomass!E15)+(AU27*Biomass!G15))/AU36</f>
        <v>13686.093945325991</v>
      </c>
      <c r="AY36" s="108">
        <f>+AX36*AU36/3600</f>
        <v>21897.750312521584</v>
      </c>
      <c r="AZ36" s="107"/>
      <c r="BA36" s="108">
        <f t="shared" ref="BA36:BA37" si="8">+AU36/30</f>
        <v>192</v>
      </c>
      <c r="BB36" s="108"/>
      <c r="BC36" s="107"/>
    </row>
    <row r="37" spans="5:59" x14ac:dyDescent="0.25">
      <c r="Z37" s="3">
        <f>+G9+M8+Q8+U8+W39</f>
        <v>14402.5</v>
      </c>
      <c r="AA37" s="1" t="s">
        <v>0</v>
      </c>
      <c r="AR37" s="102"/>
      <c r="AS37" s="106" t="s">
        <v>198</v>
      </c>
      <c r="AT37" s="107" t="s">
        <v>180</v>
      </c>
      <c r="AU37" s="108">
        <f>+AU12*0.5*10/9</f>
        <v>2298.1000000000004</v>
      </c>
      <c r="AV37" s="107">
        <v>105</v>
      </c>
      <c r="AW37" s="107">
        <v>0.12</v>
      </c>
      <c r="AX37" s="108">
        <f>+Biomass!K15</f>
        <v>16525.62776992</v>
      </c>
      <c r="AY37" s="108">
        <f>+AU37*AX37/3600</f>
        <v>10549.318105014765</v>
      </c>
      <c r="AZ37" s="107"/>
      <c r="BA37" s="108">
        <f t="shared" si="8"/>
        <v>76.603333333333339</v>
      </c>
      <c r="BB37" s="107"/>
      <c r="BC37" s="107"/>
    </row>
    <row r="38" spans="5:59" x14ac:dyDescent="0.25">
      <c r="AR38" s="102">
        <v>2</v>
      </c>
      <c r="AS38" s="106" t="s">
        <v>146</v>
      </c>
      <c r="AT38" s="107" t="s">
        <v>183</v>
      </c>
      <c r="AU38" s="108">
        <f>+AU40/0.95</f>
        <v>33726.783191930874</v>
      </c>
      <c r="AV38" s="107">
        <v>105</v>
      </c>
      <c r="AW38" s="107">
        <v>0.12</v>
      </c>
      <c r="AX38" s="108">
        <v>546.48</v>
      </c>
      <c r="AY38" s="108">
        <f>+AU38*AX38/3600</f>
        <v>5119.7256885351062</v>
      </c>
      <c r="AZ38" s="107"/>
      <c r="BA38" s="108">
        <f t="shared" ref="BA38:BA42" si="9">+AU38/30</f>
        <v>1124.2261063976957</v>
      </c>
      <c r="BB38" s="107"/>
      <c r="BC38" s="107"/>
    </row>
    <row r="39" spans="5:59" x14ac:dyDescent="0.25">
      <c r="Z39" s="3">
        <v>6</v>
      </c>
      <c r="AR39" s="102">
        <v>3</v>
      </c>
      <c r="AS39" s="106" t="s">
        <v>155</v>
      </c>
      <c r="AT39" s="107" t="s">
        <v>184</v>
      </c>
      <c r="AU39" s="107"/>
      <c r="AV39" s="107"/>
      <c r="AW39" s="107"/>
      <c r="AX39" s="107"/>
      <c r="AY39" s="108">
        <f>+(AY37+AY36)*0.2</f>
        <v>6489.4136835072704</v>
      </c>
      <c r="AZ39" s="107"/>
      <c r="BA39" s="108">
        <f t="shared" si="9"/>
        <v>0</v>
      </c>
      <c r="BB39" s="107"/>
      <c r="BC39" s="107"/>
    </row>
    <row r="40" spans="5:59" x14ac:dyDescent="0.25">
      <c r="Q40" s="3"/>
      <c r="AH40" s="2"/>
      <c r="AI40" s="1">
        <f>+AI33</f>
        <v>0</v>
      </c>
      <c r="AR40" s="102">
        <v>4</v>
      </c>
      <c r="AS40" s="106" t="s">
        <v>140</v>
      </c>
      <c r="AT40" s="107" t="s">
        <v>185</v>
      </c>
      <c r="AU40" s="108">
        <f>+(((AU37*AX37)+(AU36*AX36))*BB40)/(AX40-AX38)</f>
        <v>32040.44403233433</v>
      </c>
      <c r="AV40" s="107"/>
      <c r="AW40" s="107">
        <v>2</v>
      </c>
      <c r="AX40" s="108">
        <v>3463.03</v>
      </c>
      <c r="AY40" s="107"/>
      <c r="AZ40" s="107"/>
      <c r="BA40" s="108">
        <f>+AU40/30</f>
        <v>1068.0148010778109</v>
      </c>
      <c r="BB40" s="109">
        <v>0.8</v>
      </c>
      <c r="BC40" s="107"/>
    </row>
    <row r="41" spans="5:59" x14ac:dyDescent="0.25">
      <c r="AR41" s="102">
        <v>5</v>
      </c>
      <c r="AS41" s="106" t="s">
        <v>140</v>
      </c>
      <c r="AT41" s="107" t="s">
        <v>178</v>
      </c>
      <c r="AU41" s="108">
        <f>+AU9+AU16+AU20+AU22</f>
        <v>14401.5</v>
      </c>
      <c r="AV41" s="107">
        <v>143.6</v>
      </c>
      <c r="AW41" s="107">
        <v>0.4</v>
      </c>
      <c r="AX41" s="108">
        <v>2738.6</v>
      </c>
      <c r="AY41" s="108">
        <f>+AU41*AX41/3600</f>
        <v>10955.541083333334</v>
      </c>
      <c r="AZ41" s="107"/>
      <c r="BA41" s="108">
        <f t="shared" si="9"/>
        <v>480.05</v>
      </c>
      <c r="BB41" s="107"/>
      <c r="BC41" s="107"/>
    </row>
    <row r="42" spans="5:59" x14ac:dyDescent="0.25">
      <c r="AR42" s="102">
        <v>6</v>
      </c>
      <c r="AS42" s="106" t="s">
        <v>140</v>
      </c>
      <c r="AT42" s="107" t="s">
        <v>178</v>
      </c>
      <c r="AU42" s="108">
        <f>+AU40-AU41</f>
        <v>17638.94403233433</v>
      </c>
      <c r="AV42" s="107">
        <v>143.6</v>
      </c>
      <c r="AW42" s="107">
        <v>0.4</v>
      </c>
      <c r="AX42" s="108">
        <v>2386</v>
      </c>
      <c r="AY42" s="108">
        <f t="shared" ref="AY42" si="10">+AU42*AX42/3600</f>
        <v>11690.700128097142</v>
      </c>
      <c r="AZ42" s="107"/>
      <c r="BA42" s="108">
        <f t="shared" si="9"/>
        <v>587.96480107781099</v>
      </c>
      <c r="BB42" s="107"/>
      <c r="BC42" s="107"/>
    </row>
    <row r="43" spans="5:59" x14ac:dyDescent="0.25">
      <c r="AR43" s="102">
        <v>7</v>
      </c>
      <c r="AS43" s="106" t="s">
        <v>146</v>
      </c>
      <c r="AT43" s="107" t="s">
        <v>183</v>
      </c>
      <c r="AU43" s="108">
        <f>+AU38+AU17+AU21-AU42-AU44+AU45</f>
        <v>23053.839159596544</v>
      </c>
      <c r="AV43" s="107"/>
      <c r="AW43" s="107"/>
      <c r="AX43" s="107"/>
      <c r="AY43" s="108"/>
      <c r="AZ43" s="107"/>
      <c r="BB43" s="109"/>
      <c r="BC43" s="107"/>
    </row>
    <row r="44" spans="5:59" x14ac:dyDescent="0.25">
      <c r="AR44" s="102">
        <v>8</v>
      </c>
      <c r="AS44" s="106" t="s">
        <v>146</v>
      </c>
      <c r="AT44" s="107" t="s">
        <v>183</v>
      </c>
      <c r="AU44" s="107">
        <f>+AU22+AU28</f>
        <v>2850</v>
      </c>
      <c r="AV44" s="107"/>
      <c r="AW44" s="107"/>
      <c r="AX44" s="107"/>
      <c r="AY44" s="107"/>
      <c r="AZ44" s="107"/>
      <c r="BA44" s="108"/>
      <c r="BB44" s="107"/>
      <c r="BC44" s="107"/>
    </row>
    <row r="45" spans="5:59" x14ac:dyDescent="0.25">
      <c r="AR45" s="102">
        <v>9</v>
      </c>
      <c r="AS45" s="106" t="s">
        <v>146</v>
      </c>
      <c r="AT45" s="107" t="s">
        <v>183</v>
      </c>
      <c r="AU45" s="107">
        <f>0.0612*AU5</f>
        <v>1836</v>
      </c>
      <c r="AV45" s="107"/>
      <c r="AW45" s="107"/>
      <c r="AX45" s="107"/>
      <c r="AY45" s="107"/>
      <c r="AZ45" s="107"/>
      <c r="BA45" s="108"/>
      <c r="BB45" s="107"/>
      <c r="BC45" s="107"/>
    </row>
    <row r="46" spans="5:59" x14ac:dyDescent="0.25">
      <c r="M46" s="1">
        <f>1500-891</f>
        <v>609</v>
      </c>
      <c r="AF46" s="3">
        <f>+AD52*0.1</f>
        <v>178.44374393160001</v>
      </c>
      <c r="AG46" s="1" t="s">
        <v>1</v>
      </c>
      <c r="AR46" s="102">
        <v>10</v>
      </c>
      <c r="AS46" s="106" t="s">
        <v>156</v>
      </c>
      <c r="AT46" s="107"/>
      <c r="AU46" s="107"/>
      <c r="AV46" s="107"/>
      <c r="AW46" s="107"/>
      <c r="AX46" s="107"/>
      <c r="AY46" s="107"/>
      <c r="AZ46" s="107"/>
      <c r="BA46" s="108">
        <f>+((AU40*(AX40-AX41))+(AU42*(AX41-AX42)))/3600</f>
        <v>8175.1529267069582</v>
      </c>
      <c r="BB46" s="107"/>
      <c r="BC46" s="107"/>
    </row>
    <row r="47" spans="5:59" x14ac:dyDescent="0.25">
      <c r="AR47" s="102">
        <v>11</v>
      </c>
      <c r="AS47" s="106" t="s">
        <v>156</v>
      </c>
      <c r="AT47" s="107"/>
      <c r="AU47" s="107"/>
      <c r="AV47" s="107"/>
      <c r="AW47" s="107"/>
      <c r="AX47" s="107"/>
      <c r="AY47" s="107"/>
      <c r="AZ47" s="107"/>
      <c r="BA47" s="108">
        <f>+BA46*0.165</f>
        <v>1348.9002329066482</v>
      </c>
      <c r="BB47" s="107"/>
      <c r="BC47" s="107"/>
    </row>
    <row r="48" spans="5:59" x14ac:dyDescent="0.25">
      <c r="R48" s="1">
        <v>24</v>
      </c>
      <c r="V48" s="1" t="s">
        <v>3</v>
      </c>
      <c r="AR48" s="102">
        <v>13</v>
      </c>
      <c r="AS48" s="106" t="s">
        <v>156</v>
      </c>
      <c r="AT48" s="107"/>
      <c r="AU48" s="107"/>
      <c r="AV48" s="107"/>
      <c r="AW48" s="107"/>
      <c r="AX48" s="107"/>
      <c r="AY48" s="107"/>
      <c r="AZ48" s="107"/>
      <c r="BA48" s="108">
        <f>+AU12/1000*20</f>
        <v>82.731600000000014</v>
      </c>
      <c r="BB48" s="107"/>
      <c r="BC48" s="107"/>
    </row>
    <row r="49" spans="17:56" ht="13.8" x14ac:dyDescent="0.25">
      <c r="V49" s="3">
        <f>+E35*0.0329</f>
        <v>784.71303399999999</v>
      </c>
      <c r="W49" s="1" t="s">
        <v>2</v>
      </c>
      <c r="AR49" s="102">
        <v>14</v>
      </c>
      <c r="AS49" s="106" t="s">
        <v>156</v>
      </c>
      <c r="AT49" s="107"/>
      <c r="AU49" s="107"/>
      <c r="AV49" s="107"/>
      <c r="AW49" s="107"/>
      <c r="AX49" s="107"/>
      <c r="AY49" s="107"/>
      <c r="AZ49" s="107"/>
      <c r="BA49" s="107">
        <v>476</v>
      </c>
      <c r="BB49" s="107"/>
      <c r="BC49" s="107"/>
    </row>
    <row r="50" spans="17:56" x14ac:dyDescent="0.25">
      <c r="AR50" s="102">
        <v>15</v>
      </c>
      <c r="AS50" s="106" t="s">
        <v>156</v>
      </c>
      <c r="AT50" s="107"/>
      <c r="AU50" s="107"/>
      <c r="AV50" s="107"/>
      <c r="AW50" s="107"/>
      <c r="AX50" s="107"/>
      <c r="AY50" s="107"/>
      <c r="AZ50" s="107"/>
      <c r="BA50" s="108">
        <f>+BA46-BA49-BA47-BA48</f>
        <v>6267.5210938003102</v>
      </c>
      <c r="BB50" s="107"/>
      <c r="BC50" s="107"/>
    </row>
    <row r="51" spans="17:56" x14ac:dyDescent="0.25">
      <c r="AF51" s="3">
        <f>+AD52-AF46</f>
        <v>1605.9936953844001</v>
      </c>
      <c r="AG51" s="1" t="s">
        <v>4</v>
      </c>
      <c r="AR51" s="102">
        <v>16</v>
      </c>
      <c r="AS51" s="102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</row>
    <row r="52" spans="17:56" x14ac:dyDescent="0.25">
      <c r="AD52" s="3">
        <f>+V49*2.274</f>
        <v>1784.4374393160001</v>
      </c>
      <c r="AE52" s="1" t="s">
        <v>4</v>
      </c>
      <c r="BD52" t="s">
        <v>14</v>
      </c>
    </row>
    <row r="55" spans="17:56" x14ac:dyDescent="0.25">
      <c r="Q55" s="3">
        <f>0.8778*E35</f>
        <v>20936.811588</v>
      </c>
      <c r="R55" s="1" t="s">
        <v>0</v>
      </c>
    </row>
    <row r="57" spans="17:56" x14ac:dyDescent="0.25">
      <c r="R57" s="99">
        <v>25</v>
      </c>
    </row>
    <row r="65" spans="19:21" x14ac:dyDescent="0.25">
      <c r="S65" s="99">
        <v>26</v>
      </c>
      <c r="T65" s="3">
        <f>0.0563*E35</f>
        <v>1342.8371979999999</v>
      </c>
      <c r="U65" s="1" t="s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0F76-05A4-4726-9274-30A62D88D176}">
  <dimension ref="A1:AY71"/>
  <sheetViews>
    <sheetView showGridLines="0" topLeftCell="A43" zoomScale="40" zoomScaleNormal="40" workbookViewId="0">
      <selection activeCell="J50" sqref="J50"/>
    </sheetView>
  </sheetViews>
  <sheetFormatPr baseColWidth="10" defaultRowHeight="12" x14ac:dyDescent="0.25"/>
  <cols>
    <col min="1" max="10" width="8.5" style="1" customWidth="1"/>
    <col min="11" max="11" width="7.5" style="1" customWidth="1"/>
    <col min="12" max="37" width="8.5" style="1" customWidth="1"/>
    <col min="38" max="41" width="8.5" customWidth="1"/>
    <col min="42" max="48" width="12.625" customWidth="1"/>
  </cols>
  <sheetData>
    <row r="1" spans="2:51" x14ac:dyDescent="0.25">
      <c r="AP1" t="s">
        <v>193</v>
      </c>
      <c r="AQ1">
        <v>25</v>
      </c>
      <c r="AR1">
        <v>104.83</v>
      </c>
      <c r="AT1" t="s">
        <v>271</v>
      </c>
      <c r="AU1" s="12">
        <v>4.1859999999999999</v>
      </c>
    </row>
    <row r="2" spans="2:51" x14ac:dyDescent="0.25">
      <c r="AP2" t="s">
        <v>194</v>
      </c>
      <c r="AQ2">
        <v>55</v>
      </c>
      <c r="AR2">
        <v>2369.8000000000002</v>
      </c>
      <c r="AT2" t="s">
        <v>272</v>
      </c>
      <c r="AU2">
        <v>1.4</v>
      </c>
    </row>
    <row r="3" spans="2:51" x14ac:dyDescent="0.25">
      <c r="AW3" s="409" t="s">
        <v>273</v>
      </c>
      <c r="AX3" s="409"/>
      <c r="AY3" s="409"/>
    </row>
    <row r="4" spans="2:51" ht="36" x14ac:dyDescent="0.25">
      <c r="AA4" s="3"/>
      <c r="AP4" s="160" t="s">
        <v>163</v>
      </c>
      <c r="AQ4" s="161" t="s">
        <v>157</v>
      </c>
      <c r="AR4" s="161" t="s">
        <v>270</v>
      </c>
      <c r="AS4" s="162" t="s">
        <v>274</v>
      </c>
      <c r="AT4" s="162" t="s">
        <v>275</v>
      </c>
      <c r="AU4" s="162" t="s">
        <v>276</v>
      </c>
      <c r="AV4" s="162" t="s">
        <v>159</v>
      </c>
      <c r="AW4" s="161" t="s">
        <v>277</v>
      </c>
      <c r="AX4" s="161" t="s">
        <v>190</v>
      </c>
      <c r="AY4" s="161" t="s">
        <v>195</v>
      </c>
    </row>
    <row r="5" spans="2:51" x14ac:dyDescent="0.25">
      <c r="D5" s="1">
        <f>+B12+F8-G10-D15</f>
        <v>388</v>
      </c>
      <c r="E5" s="1" t="s">
        <v>0</v>
      </c>
      <c r="AP5" s="158" t="s">
        <v>164</v>
      </c>
      <c r="AQ5" s="104">
        <v>153157</v>
      </c>
      <c r="AR5" s="104">
        <f>+AQ5/30</f>
        <v>5105.2333333333336</v>
      </c>
      <c r="AS5" s="159">
        <f>+Tabla3[[#This Row],[FFB feed (tonne)]]*210/Tabla3[[#This Row],[Operating hours (h)]]</f>
        <v>6300</v>
      </c>
      <c r="AT5" s="159">
        <f>+Tabla3[[#This Row],[FFB feed (tonne)]]*131/Tabla3[[#This Row],[Operating hours (h)]]</f>
        <v>3930</v>
      </c>
      <c r="AU5" s="159">
        <f>+Tabla3[[#This Row],[FFB feed (tonne)]]*61/Tabla3[[#This Row],[Operating hours (h)]]</f>
        <v>1830</v>
      </c>
      <c r="AV5" s="159">
        <f>0.9*AQ5/Tabla3[[#This Row],[Operating hours (h)]]</f>
        <v>27.000000000000004</v>
      </c>
      <c r="AW5" s="166">
        <f>((+Tabla3[[#This Row],[EFB (kg/h)]]*0.65*$AU$1*($AQ$2-$AQ$1))+(Tabla3[[#This Row],[EFB (kg/h)]]*(1-0.65)*$AU$2*($AQ$2-$AQ$1))/3600)</f>
        <v>514275.82499999995</v>
      </c>
      <c r="AX5" s="167">
        <f>+Tabla3[[#This Row],[EFB (kg/h)]]*0.65*(AR2-AR1)/3600</f>
        <v>2576.4033750000003</v>
      </c>
      <c r="AY5" s="166"/>
    </row>
    <row r="6" spans="2:51" x14ac:dyDescent="0.25">
      <c r="AP6" s="163"/>
      <c r="AQ6" s="164"/>
      <c r="AR6" s="164"/>
      <c r="AS6" s="165"/>
      <c r="AT6" s="165"/>
      <c r="AU6" s="165"/>
      <c r="AV6" s="165"/>
      <c r="AW6" s="164" cm="1">
        <f t="array" ref="AW6">+Tabla3[Q1 (kWh/kg)]/6.3</f>
        <v>81631.083333333328</v>
      </c>
      <c r="AX6" s="168" cm="1">
        <f t="array" ref="AX6">+Tabla3[Q2]/6.3</f>
        <v>408.95291666666674</v>
      </c>
      <c r="AY6" s="169"/>
    </row>
    <row r="8" spans="2:51" x14ac:dyDescent="0.25">
      <c r="F8" s="1">
        <f>+B12*0.315</f>
        <v>315</v>
      </c>
      <c r="G8" s="1" t="s">
        <v>0</v>
      </c>
      <c r="L8" s="3">
        <f>0.09*B12</f>
        <v>90</v>
      </c>
      <c r="M8" s="1" t="s">
        <v>0</v>
      </c>
      <c r="P8" s="1">
        <f>0.005*B12</f>
        <v>5</v>
      </c>
      <c r="Q8" s="1" t="s">
        <v>0</v>
      </c>
      <c r="T8" s="1">
        <f>0.045*B12</f>
        <v>45</v>
      </c>
      <c r="U8" s="1" t="s">
        <v>0</v>
      </c>
    </row>
    <row r="9" spans="2:51" x14ac:dyDescent="0.25">
      <c r="AG9" s="3">
        <f>AG26/0.9</f>
        <v>1230.3451178451176</v>
      </c>
      <c r="AH9" s="1" t="s">
        <v>0</v>
      </c>
    </row>
    <row r="10" spans="2:51" x14ac:dyDescent="0.25">
      <c r="G10" s="1">
        <f>250+638</f>
        <v>888</v>
      </c>
      <c r="H10" s="1" t="s">
        <v>0</v>
      </c>
      <c r="K10" s="1">
        <f>+B12*0.68</f>
        <v>680</v>
      </c>
      <c r="L10" s="1" t="s">
        <v>0</v>
      </c>
      <c r="N10" s="3">
        <f>+K10+L8+M13-L21</f>
        <v>631.24</v>
      </c>
      <c r="O10" s="1" t="s">
        <v>0</v>
      </c>
      <c r="R10" s="3">
        <f>0.23*B12</f>
        <v>230</v>
      </c>
      <c r="S10" s="1" t="s">
        <v>0</v>
      </c>
      <c r="W10" s="3">
        <f>+R10*0.95</f>
        <v>218.5</v>
      </c>
      <c r="X10" s="1" t="s">
        <v>0</v>
      </c>
      <c r="AC10" s="1">
        <v>46</v>
      </c>
      <c r="AD10" s="1" t="s">
        <v>0</v>
      </c>
    </row>
    <row r="11" spans="2:51" x14ac:dyDescent="0.25">
      <c r="AE11" s="3">
        <f>+(M29*12)+(P30*18.2)+(H30*16.5)</f>
        <v>4384.95</v>
      </c>
      <c r="AF11" s="1" t="s">
        <v>5</v>
      </c>
    </row>
    <row r="12" spans="2:51" x14ac:dyDescent="0.25">
      <c r="B12" s="1">
        <v>1000</v>
      </c>
      <c r="C12" s="1" t="s">
        <v>0</v>
      </c>
      <c r="W12" s="3">
        <f>+R24-T29</f>
        <v>19.504000000000008</v>
      </c>
      <c r="X12" s="1" t="s">
        <v>0</v>
      </c>
    </row>
    <row r="13" spans="2:51" x14ac:dyDescent="0.25">
      <c r="M13" s="7">
        <f>0.09*B12</f>
        <v>90</v>
      </c>
      <c r="N13" s="1" t="s">
        <v>0</v>
      </c>
      <c r="O13" s="1">
        <f>0.18*B12</f>
        <v>180</v>
      </c>
      <c r="P13" s="1" t="s">
        <v>0</v>
      </c>
      <c r="Y13" s="3">
        <f>+O13+M13</f>
        <v>270</v>
      </c>
    </row>
    <row r="15" spans="2:51" x14ac:dyDescent="0.25">
      <c r="D15" s="1">
        <f>0.039*B12</f>
        <v>39</v>
      </c>
      <c r="E15" s="1" t="s">
        <v>0</v>
      </c>
      <c r="H15" s="1">
        <f>+B12*0.201</f>
        <v>201</v>
      </c>
      <c r="I15" s="1" t="s">
        <v>0</v>
      </c>
      <c r="K15" s="1">
        <f>0.0037*B12</f>
        <v>3.7</v>
      </c>
      <c r="L15" s="1" t="s">
        <v>1</v>
      </c>
      <c r="AC15" s="6"/>
    </row>
    <row r="16" spans="2:51" x14ac:dyDescent="0.25">
      <c r="S16" s="3"/>
    </row>
    <row r="17" spans="3:37" x14ac:dyDescent="0.25">
      <c r="AG17" s="8" t="s">
        <v>6</v>
      </c>
      <c r="AH17" s="9">
        <v>0.85</v>
      </c>
    </row>
    <row r="18" spans="3:37" x14ac:dyDescent="0.25">
      <c r="E18" s="1">
        <f>0.0042*B12</f>
        <v>4.2</v>
      </c>
      <c r="F18" s="1" t="s">
        <v>1</v>
      </c>
      <c r="I18" s="1">
        <f>0.0007*B12</f>
        <v>0.7</v>
      </c>
      <c r="J18" s="1" t="s">
        <v>1</v>
      </c>
      <c r="O18" s="3">
        <f>+N10+P8+O13-R10+K24</f>
        <v>674.94</v>
      </c>
      <c r="P18" s="1" t="s">
        <v>0</v>
      </c>
      <c r="Q18" s="2">
        <f>0.00273*B12*(0.5)</f>
        <v>1.365</v>
      </c>
      <c r="R18" s="1" t="s">
        <v>1</v>
      </c>
      <c r="U18" s="1">
        <f>0.0002*B12</f>
        <v>0.2</v>
      </c>
      <c r="V18" s="1" t="s">
        <v>1</v>
      </c>
    </row>
    <row r="19" spans="3:37" x14ac:dyDescent="0.25">
      <c r="Y19" s="3">
        <f>+AG9-AG36-AB22-Y13-AC10</f>
        <v>401.34451178451172</v>
      </c>
      <c r="Z19" s="1" t="s">
        <v>0</v>
      </c>
    </row>
    <row r="20" spans="3:37" x14ac:dyDescent="0.25">
      <c r="C20" s="1">
        <f>0.0002*1000</f>
        <v>0.2</v>
      </c>
      <c r="D20" s="1" t="s">
        <v>1</v>
      </c>
      <c r="G20" s="1">
        <f>0.0011*B12</f>
        <v>1.1000000000000001</v>
      </c>
      <c r="H20" s="1" t="s">
        <v>1</v>
      </c>
      <c r="O20" s="1">
        <v>4.2</v>
      </c>
      <c r="P20" s="1" t="s">
        <v>1</v>
      </c>
      <c r="T20" s="1">
        <v>3</v>
      </c>
      <c r="U20" s="1" t="s">
        <v>1</v>
      </c>
      <c r="AC20" s="3"/>
      <c r="AD20" s="1">
        <f>(0.046*H30)+(0.03*P30)+(0.61*M29)</f>
        <v>80.165800000000004</v>
      </c>
    </row>
    <row r="21" spans="3:37" x14ac:dyDescent="0.25">
      <c r="L21" s="3">
        <f>(+K10+L8+M13)*0.266</f>
        <v>228.76000000000002</v>
      </c>
      <c r="M21" s="1" t="s">
        <v>0</v>
      </c>
    </row>
    <row r="22" spans="3:37" x14ac:dyDescent="0.25">
      <c r="F22" s="3"/>
      <c r="G22" s="1" t="s">
        <v>0</v>
      </c>
      <c r="AB22" s="3">
        <f>+T8+R34+J35+P8</f>
        <v>133.69</v>
      </c>
      <c r="AC22" s="1" t="s">
        <v>0</v>
      </c>
      <c r="AD22" s="2"/>
      <c r="AI22" s="3">
        <f>+AE11*(1-AH17)</f>
        <v>657.74250000000006</v>
      </c>
      <c r="AJ22" s="1" t="s">
        <v>5</v>
      </c>
    </row>
    <row r="24" spans="3:37" x14ac:dyDescent="0.25">
      <c r="K24" s="3">
        <f>+H15-H30</f>
        <v>88.7</v>
      </c>
      <c r="L24" s="1" t="s">
        <v>0</v>
      </c>
      <c r="N24" s="3">
        <f>+L21-M29</f>
        <v>108.76000000000002</v>
      </c>
      <c r="O24" s="1" t="s">
        <v>0</v>
      </c>
      <c r="R24" s="3">
        <f>+N24-P30</f>
        <v>48.760000000000019</v>
      </c>
      <c r="S24" s="1" t="s">
        <v>0</v>
      </c>
      <c r="AA24" s="3"/>
      <c r="AI24" s="3">
        <f>+AH34*0.16</f>
        <v>31.36275757575757</v>
      </c>
      <c r="AJ24" s="1" t="s">
        <v>4</v>
      </c>
    </row>
    <row r="25" spans="3:37" x14ac:dyDescent="0.25">
      <c r="V25" s="3">
        <f>(+C20+E18+G20+I18+K15+O20+T20+Q18+U18+F36)*1.1</f>
        <v>20.641500000000001</v>
      </c>
      <c r="W25" s="1" t="s">
        <v>1</v>
      </c>
    </row>
    <row r="26" spans="3:37" x14ac:dyDescent="0.25">
      <c r="R26" s="5"/>
      <c r="AE26" s="2"/>
      <c r="AG26" s="3">
        <f>(+AE11-AI22)/3.366</f>
        <v>1107.3106060606058</v>
      </c>
      <c r="AH26" s="1" t="s">
        <v>0</v>
      </c>
    </row>
    <row r="28" spans="3:37" x14ac:dyDescent="0.25">
      <c r="AB28" s="209">
        <v>0.27777777777777779</v>
      </c>
    </row>
    <row r="29" spans="3:37" x14ac:dyDescent="0.25">
      <c r="L29" s="4"/>
      <c r="M29" s="1">
        <v>120</v>
      </c>
      <c r="N29" s="1" t="s">
        <v>0</v>
      </c>
      <c r="T29" s="3">
        <f>+R24*0.6</f>
        <v>29.256000000000011</v>
      </c>
      <c r="U29" s="1" t="s">
        <v>0</v>
      </c>
    </row>
    <row r="30" spans="3:37" x14ac:dyDescent="0.25">
      <c r="H30" s="3">
        <v>112.3</v>
      </c>
      <c r="I30" s="1" t="s">
        <v>0</v>
      </c>
      <c r="P30" s="1">
        <v>60</v>
      </c>
      <c r="Q30" s="1" t="s">
        <v>0</v>
      </c>
      <c r="AB30" s="1">
        <f>0.3+4.2+1.1+0.7+1.7+3.7+2.5+1.4+4+0.2</f>
        <v>19.8</v>
      </c>
    </row>
    <row r="31" spans="3:37" x14ac:dyDescent="0.25">
      <c r="AJ31" s="10">
        <f>+AH34-AI24</f>
        <v>164.65447727272723</v>
      </c>
      <c r="AK31" t="s">
        <v>1</v>
      </c>
    </row>
    <row r="32" spans="3:37" x14ac:dyDescent="0.25">
      <c r="AB32" s="3"/>
    </row>
    <row r="34" spans="4:40" x14ac:dyDescent="0.25">
      <c r="L34" s="3"/>
      <c r="R34" s="1">
        <v>50</v>
      </c>
      <c r="S34" s="1" t="s">
        <v>0</v>
      </c>
      <c r="W34" s="3"/>
      <c r="AE34" s="3">
        <v>728</v>
      </c>
      <c r="AF34" s="1" t="s">
        <v>0</v>
      </c>
      <c r="AH34" s="3">
        <f>((+AG26*(3.366-2.9))+((AG36*(2.9-2.4))))/3.6</f>
        <v>196.0172348484848</v>
      </c>
      <c r="AI34" s="1" t="s">
        <v>4</v>
      </c>
    </row>
    <row r="35" spans="4:40" x14ac:dyDescent="0.25">
      <c r="D35" s="3">
        <f>+D15+O18+AC10</f>
        <v>759.94</v>
      </c>
      <c r="E35" s="1" t="s">
        <v>0</v>
      </c>
      <c r="J35" s="3">
        <f>0.3*H30</f>
        <v>33.69</v>
      </c>
      <c r="K35" s="1" t="s">
        <v>0</v>
      </c>
      <c r="AM35" s="10">
        <f>+V25</f>
        <v>20.641500000000001</v>
      </c>
      <c r="AN35" t="str">
        <f>+W25</f>
        <v>kWh</v>
      </c>
    </row>
    <row r="36" spans="4:40" x14ac:dyDescent="0.25">
      <c r="F36" s="1">
        <v>0.1</v>
      </c>
      <c r="G36" s="1" t="s">
        <v>1</v>
      </c>
      <c r="AG36" s="3">
        <f>+AG26-AE34</f>
        <v>379.31060606060578</v>
      </c>
      <c r="AH36" s="1" t="s">
        <v>0</v>
      </c>
    </row>
    <row r="38" spans="4:40" x14ac:dyDescent="0.25">
      <c r="Z38" s="1">
        <f>315+90+180+48+50</f>
        <v>683</v>
      </c>
    </row>
    <row r="39" spans="4:40" x14ac:dyDescent="0.25">
      <c r="V39" s="1">
        <v>33</v>
      </c>
      <c r="W39" s="1" t="s">
        <v>0</v>
      </c>
      <c r="Z39" s="1">
        <v>683</v>
      </c>
    </row>
    <row r="40" spans="4:40" x14ac:dyDescent="0.25">
      <c r="H40" s="3">
        <f>+J35*0.5</f>
        <v>16.844999999999999</v>
      </c>
      <c r="AG40" s="2"/>
    </row>
    <row r="42" spans="4:40" x14ac:dyDescent="0.25">
      <c r="AM42" s="10">
        <f>+AJ31+AJ50-AM35</f>
        <v>197.22457727272723</v>
      </c>
      <c r="AN42" t="s">
        <v>1</v>
      </c>
    </row>
    <row r="43" spans="4:40" x14ac:dyDescent="0.25">
      <c r="T43" s="3">
        <f>+R53*0.1</f>
        <v>5.9124000000000008</v>
      </c>
      <c r="U43" s="1" t="s">
        <v>4</v>
      </c>
      <c r="AD43" s="3"/>
    </row>
    <row r="44" spans="4:40" x14ac:dyDescent="0.25">
      <c r="X44" s="1">
        <f>888-680</f>
        <v>208</v>
      </c>
    </row>
    <row r="45" spans="4:40" x14ac:dyDescent="0.25">
      <c r="AE45" s="1">
        <f>69.4/0.2777778</f>
        <v>249.83998001280159</v>
      </c>
    </row>
    <row r="46" spans="4:40" x14ac:dyDescent="0.25">
      <c r="AA46" s="1">
        <f>208-20.8</f>
        <v>187.2</v>
      </c>
      <c r="AB46" s="1">
        <f>+AA46*0.6</f>
        <v>112.32</v>
      </c>
    </row>
    <row r="47" spans="4:40" x14ac:dyDescent="0.25">
      <c r="Z47" s="1">
        <f>208-21</f>
        <v>187</v>
      </c>
    </row>
    <row r="48" spans="4:40" x14ac:dyDescent="0.25">
      <c r="W48" s="1">
        <v>1000</v>
      </c>
      <c r="X48" s="1">
        <v>20</v>
      </c>
      <c r="Y48" s="1">
        <f>+Z47/1000*X48</f>
        <v>3.74</v>
      </c>
    </row>
    <row r="49" spans="6:37" ht="13.8" x14ac:dyDescent="0.25">
      <c r="J49" s="3">
        <v>26</v>
      </c>
      <c r="K49" s="1" t="s">
        <v>2</v>
      </c>
      <c r="U49" s="3"/>
      <c r="W49" s="1">
        <v>1000</v>
      </c>
      <c r="X49" s="1">
        <v>371</v>
      </c>
      <c r="Y49" s="2">
        <f>+Z47/1000*X49</f>
        <v>69.376999999999995</v>
      </c>
    </row>
    <row r="50" spans="6:37" x14ac:dyDescent="0.25">
      <c r="AJ50" s="3">
        <f>+R53-T43</f>
        <v>53.211600000000004</v>
      </c>
      <c r="AK50" s="1" t="s">
        <v>1</v>
      </c>
    </row>
    <row r="51" spans="6:37" x14ac:dyDescent="0.25">
      <c r="AE51" s="3"/>
    </row>
    <row r="52" spans="6:37" x14ac:dyDescent="0.25">
      <c r="AC52" s="3"/>
    </row>
    <row r="53" spans="6:37" x14ac:dyDescent="0.25">
      <c r="R53" s="3">
        <f>+J49*2.274</f>
        <v>59.124000000000002</v>
      </c>
      <c r="S53" s="1" t="s">
        <v>4</v>
      </c>
      <c r="U53" s="3">
        <f>+R53-T43</f>
        <v>53.211600000000004</v>
      </c>
    </row>
    <row r="55" spans="6:37" x14ac:dyDescent="0.25">
      <c r="F55" s="3">
        <f>0.8778*D35</f>
        <v>667.07533200000012</v>
      </c>
      <c r="G55" s="1" t="s">
        <v>0</v>
      </c>
      <c r="P55" s="3"/>
    </row>
    <row r="65" spans="7:19" x14ac:dyDescent="0.25">
      <c r="H65" s="3">
        <v>56.666666666666664</v>
      </c>
      <c r="I65" s="1" t="s">
        <v>0</v>
      </c>
      <c r="S65" s="3"/>
    </row>
    <row r="71" spans="7:19" ht="36" x14ac:dyDescent="0.25">
      <c r="G71" s="1" t="s">
        <v>8</v>
      </c>
    </row>
  </sheetData>
  <mergeCells count="1">
    <mergeCell ref="AW3:AY3"/>
  </mergeCells>
  <phoneticPr fontId="3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94D3-9CE1-47DE-B00E-91C6D8D71C79}">
  <dimension ref="A4:AN71"/>
  <sheetViews>
    <sheetView showGridLines="0" topLeftCell="A16" zoomScaleNormal="100" workbookViewId="0">
      <selection activeCell="V52" sqref="V52"/>
    </sheetView>
  </sheetViews>
  <sheetFormatPr baseColWidth="10" defaultRowHeight="12" x14ac:dyDescent="0.25"/>
  <cols>
    <col min="1" max="10" width="8.5" style="1" customWidth="1"/>
    <col min="11" max="11" width="7.5" style="1" customWidth="1"/>
    <col min="12" max="37" width="8.5" style="1" customWidth="1"/>
    <col min="38" max="50" width="8.5" customWidth="1"/>
  </cols>
  <sheetData>
    <row r="4" spans="2:38" x14ac:dyDescent="0.25">
      <c r="AA4" s="3"/>
    </row>
    <row r="5" spans="2:38" x14ac:dyDescent="0.25">
      <c r="D5" s="1">
        <f>+B12+F8-G10-D15</f>
        <v>388</v>
      </c>
      <c r="E5" s="1" t="s">
        <v>0</v>
      </c>
    </row>
    <row r="8" spans="2:38" x14ac:dyDescent="0.25">
      <c r="F8" s="1">
        <f>+B12*0.315</f>
        <v>315</v>
      </c>
      <c r="G8" s="1" t="s">
        <v>0</v>
      </c>
      <c r="L8" s="3">
        <f>0.09*B12</f>
        <v>90</v>
      </c>
      <c r="M8" s="1" t="s">
        <v>0</v>
      </c>
      <c r="P8" s="1">
        <f>0.005*B12</f>
        <v>5</v>
      </c>
      <c r="Q8" s="1" t="s">
        <v>0</v>
      </c>
      <c r="T8" s="1">
        <f>0.045*B12</f>
        <v>45</v>
      </c>
      <c r="U8" s="1" t="s">
        <v>0</v>
      </c>
    </row>
    <row r="9" spans="2:38" x14ac:dyDescent="0.25">
      <c r="AG9" s="3">
        <f>AG26/0.9</f>
        <v>668.64725688255101</v>
      </c>
      <c r="AH9" s="1" t="s">
        <v>0</v>
      </c>
      <c r="AL9">
        <f>728-683</f>
        <v>45</v>
      </c>
    </row>
    <row r="10" spans="2:38" x14ac:dyDescent="0.25">
      <c r="G10" s="1">
        <f>250+638</f>
        <v>888</v>
      </c>
      <c r="H10" s="1" t="s">
        <v>0</v>
      </c>
      <c r="K10" s="1">
        <f>+B12*0.68</f>
        <v>680</v>
      </c>
      <c r="L10" s="1" t="s">
        <v>0</v>
      </c>
      <c r="N10" s="3">
        <f>+K10+L8+M13-L21</f>
        <v>631.24</v>
      </c>
      <c r="O10" s="1" t="s">
        <v>0</v>
      </c>
      <c r="R10" s="3">
        <f>0.23*B12</f>
        <v>230</v>
      </c>
      <c r="S10" s="1" t="s">
        <v>0</v>
      </c>
      <c r="W10" s="3">
        <f>+R10*0.95</f>
        <v>218.5</v>
      </c>
      <c r="X10" s="1" t="s">
        <v>0</v>
      </c>
      <c r="AC10" s="1">
        <v>46</v>
      </c>
      <c r="AD10" s="1" t="s">
        <v>0</v>
      </c>
    </row>
    <row r="11" spans="2:38" x14ac:dyDescent="0.25">
      <c r="AE11" s="3">
        <f>+(M29*12)+(P30*18.2)</f>
        <v>2532</v>
      </c>
      <c r="AF11" s="1" t="s">
        <v>5</v>
      </c>
    </row>
    <row r="12" spans="2:38" x14ac:dyDescent="0.25">
      <c r="B12" s="1">
        <v>1000</v>
      </c>
      <c r="C12" s="1" t="s">
        <v>0</v>
      </c>
      <c r="W12" s="3">
        <f>+R24-T29</f>
        <v>19.504000000000008</v>
      </c>
      <c r="X12" s="1" t="s">
        <v>0</v>
      </c>
    </row>
    <row r="13" spans="2:38" x14ac:dyDescent="0.25">
      <c r="M13" s="7">
        <f>0.09*B12</f>
        <v>90</v>
      </c>
      <c r="N13" s="1" t="s">
        <v>0</v>
      </c>
      <c r="O13" s="1">
        <f>0.18*B12</f>
        <v>180</v>
      </c>
      <c r="P13" s="1" t="s">
        <v>0</v>
      </c>
      <c r="Y13" s="3">
        <f>+O13+M13</f>
        <v>270</v>
      </c>
    </row>
    <row r="15" spans="2:38" x14ac:dyDescent="0.25">
      <c r="D15" s="1">
        <f>0.039*B12</f>
        <v>39</v>
      </c>
      <c r="E15" s="1" t="s">
        <v>0</v>
      </c>
      <c r="H15" s="1">
        <f>+B12*0.201</f>
        <v>201</v>
      </c>
      <c r="I15" s="1" t="s">
        <v>0</v>
      </c>
      <c r="K15" s="1">
        <f>0.0037*B12</f>
        <v>3.7</v>
      </c>
      <c r="L15" s="1" t="s">
        <v>1</v>
      </c>
      <c r="AC15" s="6"/>
    </row>
    <row r="16" spans="2:38" x14ac:dyDescent="0.25">
      <c r="S16" s="3"/>
    </row>
    <row r="17" spans="3:37" x14ac:dyDescent="0.25">
      <c r="AG17" s="8" t="s">
        <v>6</v>
      </c>
      <c r="AH17" s="9">
        <v>0.8</v>
      </c>
    </row>
    <row r="18" spans="3:37" x14ac:dyDescent="0.25">
      <c r="E18" s="1">
        <f>0.0042*B12</f>
        <v>4.2</v>
      </c>
      <c r="F18" s="1" t="s">
        <v>1</v>
      </c>
      <c r="I18" s="1">
        <f>0.0007*B12</f>
        <v>0.7</v>
      </c>
      <c r="J18" s="1" t="s">
        <v>1</v>
      </c>
      <c r="O18" s="3">
        <f>+N10+P8+O13-R10+K24</f>
        <v>607.24</v>
      </c>
      <c r="P18" s="1" t="s">
        <v>0</v>
      </c>
      <c r="Q18" s="2">
        <f>0.00273*B12*(0.5)</f>
        <v>1.365</v>
      </c>
      <c r="R18" s="1" t="s">
        <v>1</v>
      </c>
      <c r="U18" s="1">
        <f>0.0002*B12</f>
        <v>0.2</v>
      </c>
      <c r="V18" s="1" t="s">
        <v>1</v>
      </c>
    </row>
    <row r="19" spans="3:37" x14ac:dyDescent="0.25">
      <c r="Y19" s="3">
        <f>+AG9-AG36-AB22-Y13-AC10</f>
        <v>155.86472568825513</v>
      </c>
      <c r="Z19" s="1" t="s">
        <v>0</v>
      </c>
    </row>
    <row r="20" spans="3:37" x14ac:dyDescent="0.25">
      <c r="C20" s="1">
        <f>0.0002*1000</f>
        <v>0.2</v>
      </c>
      <c r="D20" s="1" t="s">
        <v>1</v>
      </c>
      <c r="G20" s="1">
        <f>0.0011*B12</f>
        <v>1.1000000000000001</v>
      </c>
      <c r="H20" s="1" t="s">
        <v>1</v>
      </c>
      <c r="O20" s="1">
        <v>4.2</v>
      </c>
      <c r="P20" s="1" t="s">
        <v>1</v>
      </c>
      <c r="T20" s="1">
        <v>3</v>
      </c>
      <c r="U20" s="1" t="s">
        <v>1</v>
      </c>
      <c r="AC20" s="3"/>
    </row>
    <row r="21" spans="3:37" x14ac:dyDescent="0.25">
      <c r="L21" s="3">
        <f>(+K10+L8+M13)*0.266</f>
        <v>228.76000000000002</v>
      </c>
      <c r="M21" s="1" t="s">
        <v>0</v>
      </c>
      <c r="AD21" s="1">
        <f>+(0.03*P30)+(0.61*M29)</f>
        <v>75</v>
      </c>
    </row>
    <row r="22" spans="3:37" x14ac:dyDescent="0.25">
      <c r="F22" s="3"/>
      <c r="G22" s="1" t="s">
        <v>0</v>
      </c>
      <c r="AB22" s="3">
        <f>+T8+R34+J35+P8</f>
        <v>154</v>
      </c>
      <c r="AC22" s="1" t="s">
        <v>0</v>
      </c>
      <c r="AD22" s="2"/>
      <c r="AI22" s="3">
        <f>+AE11*(1-AH17)</f>
        <v>506.39999999999986</v>
      </c>
      <c r="AJ22" s="1" t="s">
        <v>5</v>
      </c>
    </row>
    <row r="24" spans="3:37" x14ac:dyDescent="0.25">
      <c r="K24" s="3">
        <f>+H15-H30</f>
        <v>21</v>
      </c>
      <c r="L24" s="1" t="s">
        <v>0</v>
      </c>
      <c r="N24" s="3">
        <f>+L21-M29</f>
        <v>108.76000000000002</v>
      </c>
      <c r="O24" s="1" t="s">
        <v>0</v>
      </c>
      <c r="R24" s="3">
        <f>+N24-P30</f>
        <v>48.760000000000019</v>
      </c>
      <c r="S24" s="1" t="s">
        <v>0</v>
      </c>
      <c r="AA24" s="3"/>
      <c r="AI24" s="3">
        <f>+AH34*0.16</f>
        <v>13.414307783719552</v>
      </c>
      <c r="AJ24" s="1" t="s">
        <v>4</v>
      </c>
    </row>
    <row r="25" spans="3:37" x14ac:dyDescent="0.25">
      <c r="V25" s="3">
        <f>(+C20+E18+G20+I18+K15+O20+T20+Q18+U18+F36)*1.1</f>
        <v>20.641500000000001</v>
      </c>
      <c r="W25" s="1" t="s">
        <v>1</v>
      </c>
    </row>
    <row r="26" spans="3:37" x14ac:dyDescent="0.25">
      <c r="R26" s="5"/>
      <c r="AE26" s="2"/>
      <c r="AG26" s="3">
        <f>(+AE11-AI22)/3.366</f>
        <v>601.78253119429587</v>
      </c>
      <c r="AH26" s="1" t="s">
        <v>0</v>
      </c>
    </row>
    <row r="29" spans="3:37" x14ac:dyDescent="0.25">
      <c r="L29" s="4"/>
      <c r="M29" s="1">
        <v>120</v>
      </c>
      <c r="N29" s="1" t="s">
        <v>0</v>
      </c>
      <c r="T29" s="3">
        <f>+R24*0.6</f>
        <v>29.256000000000011</v>
      </c>
      <c r="U29" s="1" t="s">
        <v>0</v>
      </c>
    </row>
    <row r="30" spans="3:37" x14ac:dyDescent="0.25">
      <c r="H30" s="3">
        <v>180</v>
      </c>
      <c r="I30" s="1" t="s">
        <v>0</v>
      </c>
      <c r="P30" s="1">
        <v>60</v>
      </c>
      <c r="Q30" s="1" t="s">
        <v>0</v>
      </c>
    </row>
    <row r="31" spans="3:37" x14ac:dyDescent="0.25">
      <c r="AJ31" s="10">
        <f>+AH34-AI24</f>
        <v>70.425115864527655</v>
      </c>
      <c r="AK31" t="s">
        <v>1</v>
      </c>
    </row>
    <row r="32" spans="3:37" x14ac:dyDescent="0.25">
      <c r="AB32" s="3"/>
    </row>
    <row r="34" spans="4:40" x14ac:dyDescent="0.25">
      <c r="L34" s="3"/>
      <c r="R34" s="1">
        <v>50</v>
      </c>
      <c r="S34" s="1" t="s">
        <v>0</v>
      </c>
      <c r="W34" s="3"/>
      <c r="AE34" s="3">
        <f>+J35+R34+T8+P8+L8+F8</f>
        <v>559</v>
      </c>
      <c r="AF34" s="1" t="s">
        <v>0</v>
      </c>
      <c r="AH34" s="3">
        <f>((+AG26*(3.366-2.9))+((AG36*(2.9-2.4))))/3.6</f>
        <v>83.839423648247205</v>
      </c>
      <c r="AI34" s="1" t="s">
        <v>4</v>
      </c>
    </row>
    <row r="35" spans="4:40" x14ac:dyDescent="0.25">
      <c r="D35" s="3">
        <f>+D15+O18+AC10</f>
        <v>692.24</v>
      </c>
      <c r="E35" s="1" t="s">
        <v>0</v>
      </c>
      <c r="J35" s="3">
        <f>0.3*H30</f>
        <v>54</v>
      </c>
      <c r="K35" s="1" t="s">
        <v>0</v>
      </c>
      <c r="AM35" s="10">
        <f>+V25</f>
        <v>20.641500000000001</v>
      </c>
      <c r="AN35" t="str">
        <f>+W25</f>
        <v>kWh</v>
      </c>
    </row>
    <row r="36" spans="4:40" x14ac:dyDescent="0.25">
      <c r="F36" s="1">
        <v>0.1</v>
      </c>
      <c r="G36" s="1" t="s">
        <v>1</v>
      </c>
      <c r="AG36" s="3">
        <f>+AG26-AE34</f>
        <v>42.782531194295871</v>
      </c>
      <c r="AH36" s="1" t="s">
        <v>0</v>
      </c>
    </row>
    <row r="39" spans="4:40" x14ac:dyDescent="0.25">
      <c r="V39" s="1">
        <v>33</v>
      </c>
      <c r="W39" s="1" t="s">
        <v>0</v>
      </c>
    </row>
    <row r="40" spans="4:40" x14ac:dyDescent="0.25">
      <c r="H40" s="3">
        <f>+J35*0.5</f>
        <v>27</v>
      </c>
      <c r="AG40" s="2"/>
    </row>
    <row r="42" spans="4:40" x14ac:dyDescent="0.25">
      <c r="AM42" s="10">
        <f>+AJ31+AJ50-AM35</f>
        <v>186.90581586452765</v>
      </c>
      <c r="AN42" t="s">
        <v>1</v>
      </c>
    </row>
    <row r="43" spans="4:40" x14ac:dyDescent="0.25">
      <c r="T43" s="3">
        <f>+R53*0.1</f>
        <v>15.235800000000001</v>
      </c>
      <c r="U43" s="1" t="s">
        <v>4</v>
      </c>
      <c r="AD43" s="3"/>
    </row>
    <row r="48" spans="4:40" x14ac:dyDescent="0.25">
      <c r="AA48" s="1">
        <f>3082/30</f>
        <v>102.73333333333333</v>
      </c>
    </row>
    <row r="49" spans="6:37" ht="13.8" x14ac:dyDescent="0.25">
      <c r="J49" s="3">
        <v>67</v>
      </c>
      <c r="K49" s="1" t="s">
        <v>2</v>
      </c>
      <c r="U49" s="3"/>
    </row>
    <row r="50" spans="6:37" x14ac:dyDescent="0.25">
      <c r="AJ50" s="3">
        <f>+R53-T43</f>
        <v>137.12219999999999</v>
      </c>
      <c r="AK50" s="1" t="s">
        <v>1</v>
      </c>
    </row>
    <row r="51" spans="6:37" x14ac:dyDescent="0.25">
      <c r="AE51" s="3"/>
    </row>
    <row r="52" spans="6:37" x14ac:dyDescent="0.25">
      <c r="AB52" s="1">
        <f>180+54-27</f>
        <v>207</v>
      </c>
      <c r="AC52" s="3"/>
    </row>
    <row r="53" spans="6:37" x14ac:dyDescent="0.25">
      <c r="R53" s="3">
        <f>+J49*2.274</f>
        <v>152.358</v>
      </c>
      <c r="S53" s="1" t="s">
        <v>4</v>
      </c>
      <c r="AE53" s="1">
        <f>53+165</f>
        <v>218</v>
      </c>
    </row>
    <row r="54" spans="6:37" x14ac:dyDescent="0.25">
      <c r="AE54" s="1">
        <f>137+70</f>
        <v>207</v>
      </c>
    </row>
    <row r="55" spans="6:37" x14ac:dyDescent="0.25">
      <c r="F55" s="3">
        <f>0.8778*D35</f>
        <v>607.64827200000002</v>
      </c>
      <c r="G55" s="1" t="s">
        <v>0</v>
      </c>
      <c r="P55" s="3"/>
    </row>
    <row r="65" spans="7:19" x14ac:dyDescent="0.25">
      <c r="H65" s="3">
        <v>56.666666666666664</v>
      </c>
      <c r="I65" s="1" t="s">
        <v>0</v>
      </c>
      <c r="S65" s="3"/>
    </row>
    <row r="71" spans="7:19" ht="36" x14ac:dyDescent="0.25">
      <c r="G71" s="1" t="s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FD3C-A824-45DD-8DAA-6715896FB5AB}">
  <dimension ref="A2:G49"/>
  <sheetViews>
    <sheetView workbookViewId="0">
      <selection activeCell="J45" sqref="J45"/>
    </sheetView>
  </sheetViews>
  <sheetFormatPr baseColWidth="10" defaultRowHeight="12" x14ac:dyDescent="0.25"/>
  <cols>
    <col min="19" max="19" width="12.375" customWidth="1"/>
  </cols>
  <sheetData>
    <row r="2" spans="1:7" x14ac:dyDescent="0.25">
      <c r="B2" t="s">
        <v>11</v>
      </c>
      <c r="C2" t="s">
        <v>12</v>
      </c>
      <c r="D2" t="s">
        <v>13</v>
      </c>
    </row>
    <row r="3" spans="1:7" x14ac:dyDescent="0.25">
      <c r="A3" t="s">
        <v>10</v>
      </c>
      <c r="B3" s="409" t="s">
        <v>9</v>
      </c>
      <c r="C3" s="409"/>
      <c r="D3" s="409"/>
      <c r="F3">
        <v>2.3199999999999998</v>
      </c>
      <c r="G3">
        <v>50</v>
      </c>
    </row>
    <row r="4" spans="1:7" x14ac:dyDescent="0.25">
      <c r="A4">
        <v>0</v>
      </c>
      <c r="B4">
        <v>0</v>
      </c>
      <c r="C4">
        <v>0</v>
      </c>
      <c r="D4">
        <v>0</v>
      </c>
      <c r="F4">
        <v>0.25</v>
      </c>
      <c r="G4">
        <f>+G3*F4/F3</f>
        <v>5.3879310344827589</v>
      </c>
    </row>
    <row r="5" spans="1:7" x14ac:dyDescent="0.25">
      <c r="A5">
        <v>5</v>
      </c>
      <c r="B5">
        <v>20</v>
      </c>
      <c r="C5">
        <v>0</v>
      </c>
      <c r="D5">
        <v>0</v>
      </c>
    </row>
    <row r="6" spans="1:7" x14ac:dyDescent="0.25">
      <c r="A6">
        <v>7</v>
      </c>
      <c r="B6">
        <v>35</v>
      </c>
      <c r="C6">
        <v>0</v>
      </c>
      <c r="D6">
        <v>0</v>
      </c>
    </row>
    <row r="7" spans="1:7" x14ac:dyDescent="0.25">
      <c r="A7">
        <v>12</v>
      </c>
      <c r="B7">
        <v>5</v>
      </c>
      <c r="C7">
        <v>0</v>
      </c>
      <c r="D7">
        <v>0</v>
      </c>
    </row>
    <row r="8" spans="1:7" x14ac:dyDescent="0.25">
      <c r="A8">
        <v>16</v>
      </c>
      <c r="B8">
        <v>35</v>
      </c>
      <c r="C8">
        <v>0</v>
      </c>
      <c r="D8">
        <v>0</v>
      </c>
    </row>
    <row r="9" spans="1:7" x14ac:dyDescent="0.25">
      <c r="A9">
        <v>20</v>
      </c>
      <c r="B9">
        <v>5</v>
      </c>
      <c r="C9">
        <v>0</v>
      </c>
      <c r="D9">
        <v>0</v>
      </c>
    </row>
    <row r="10" spans="1:7" x14ac:dyDescent="0.25">
      <c r="A10">
        <v>25</v>
      </c>
      <c r="B10">
        <v>40</v>
      </c>
      <c r="C10">
        <v>0</v>
      </c>
      <c r="D10">
        <v>0</v>
      </c>
    </row>
    <row r="11" spans="1:7" x14ac:dyDescent="0.25">
      <c r="A11">
        <v>28</v>
      </c>
      <c r="B11">
        <v>40</v>
      </c>
      <c r="C11">
        <v>0</v>
      </c>
      <c r="D11">
        <v>0</v>
      </c>
    </row>
    <row r="12" spans="1:7" x14ac:dyDescent="0.25">
      <c r="A12">
        <v>30</v>
      </c>
      <c r="B12">
        <v>40</v>
      </c>
      <c r="C12">
        <v>0</v>
      </c>
      <c r="D12">
        <v>0</v>
      </c>
    </row>
    <row r="13" spans="1:7" x14ac:dyDescent="0.25">
      <c r="A13">
        <v>32</v>
      </c>
      <c r="B13">
        <v>40</v>
      </c>
      <c r="C13">
        <v>0</v>
      </c>
      <c r="D13">
        <v>0</v>
      </c>
    </row>
    <row r="14" spans="1:7" x14ac:dyDescent="0.25">
      <c r="A14">
        <v>35</v>
      </c>
      <c r="B14">
        <v>40</v>
      </c>
      <c r="C14">
        <v>20</v>
      </c>
      <c r="D14">
        <v>0</v>
      </c>
    </row>
    <row r="15" spans="1:7" x14ac:dyDescent="0.25">
      <c r="A15">
        <v>40</v>
      </c>
      <c r="B15">
        <v>40</v>
      </c>
      <c r="C15">
        <v>35</v>
      </c>
      <c r="D15">
        <v>0</v>
      </c>
    </row>
    <row r="16" spans="1:7" x14ac:dyDescent="0.25">
      <c r="A16">
        <v>45</v>
      </c>
      <c r="B16">
        <v>40</v>
      </c>
      <c r="C16">
        <v>5</v>
      </c>
      <c r="D16">
        <v>0</v>
      </c>
    </row>
    <row r="17" spans="1:4" x14ac:dyDescent="0.25">
      <c r="A17">
        <v>50</v>
      </c>
      <c r="B17">
        <v>40</v>
      </c>
      <c r="C17">
        <v>35</v>
      </c>
      <c r="D17">
        <v>0</v>
      </c>
    </row>
    <row r="18" spans="1:4" x14ac:dyDescent="0.25">
      <c r="A18">
        <v>55</v>
      </c>
      <c r="B18">
        <v>40</v>
      </c>
      <c r="C18">
        <v>5</v>
      </c>
      <c r="D18">
        <v>0</v>
      </c>
    </row>
    <row r="19" spans="1:4" x14ac:dyDescent="0.25">
      <c r="A19">
        <v>60</v>
      </c>
      <c r="B19">
        <v>40</v>
      </c>
      <c r="C19">
        <v>40</v>
      </c>
      <c r="D19">
        <v>0</v>
      </c>
    </row>
    <row r="20" spans="1:4" x14ac:dyDescent="0.25">
      <c r="A20">
        <v>65</v>
      </c>
      <c r="B20">
        <v>40</v>
      </c>
      <c r="C20">
        <v>40</v>
      </c>
      <c r="D20">
        <v>0</v>
      </c>
    </row>
    <row r="21" spans="1:4" x14ac:dyDescent="0.25">
      <c r="A21" t="s">
        <v>14</v>
      </c>
      <c r="B21">
        <v>20</v>
      </c>
      <c r="C21">
        <v>40</v>
      </c>
      <c r="D21">
        <v>0</v>
      </c>
    </row>
    <row r="22" spans="1:4" x14ac:dyDescent="0.25">
      <c r="A22">
        <v>70</v>
      </c>
      <c r="B22">
        <v>0</v>
      </c>
      <c r="C22">
        <v>40</v>
      </c>
      <c r="D22">
        <v>0</v>
      </c>
    </row>
    <row r="23" spans="1:4" x14ac:dyDescent="0.25">
      <c r="A23">
        <v>80</v>
      </c>
      <c r="B23">
        <v>0</v>
      </c>
      <c r="C23">
        <v>40</v>
      </c>
      <c r="D23">
        <v>20</v>
      </c>
    </row>
    <row r="24" spans="1:4" x14ac:dyDescent="0.25">
      <c r="A24">
        <v>85</v>
      </c>
      <c r="B24">
        <v>0</v>
      </c>
      <c r="C24">
        <v>40</v>
      </c>
      <c r="D24">
        <v>35</v>
      </c>
    </row>
    <row r="25" spans="1:4" x14ac:dyDescent="0.25">
      <c r="A25">
        <v>90</v>
      </c>
      <c r="B25">
        <v>0</v>
      </c>
      <c r="C25">
        <v>40</v>
      </c>
      <c r="D25">
        <v>5</v>
      </c>
    </row>
    <row r="26" spans="1:4" x14ac:dyDescent="0.25">
      <c r="A26">
        <v>95</v>
      </c>
      <c r="B26">
        <v>0</v>
      </c>
      <c r="C26">
        <v>40</v>
      </c>
      <c r="D26">
        <v>35</v>
      </c>
    </row>
    <row r="27" spans="1:4" x14ac:dyDescent="0.25">
      <c r="A27">
        <v>100</v>
      </c>
      <c r="B27">
        <v>0</v>
      </c>
      <c r="C27">
        <v>40</v>
      </c>
      <c r="D27">
        <v>5</v>
      </c>
    </row>
    <row r="28" spans="1:4" x14ac:dyDescent="0.25">
      <c r="A28">
        <v>105</v>
      </c>
      <c r="B28">
        <v>0</v>
      </c>
      <c r="C28">
        <v>20</v>
      </c>
      <c r="D28">
        <v>40</v>
      </c>
    </row>
    <row r="29" spans="1:4" x14ac:dyDescent="0.25">
      <c r="A29">
        <v>110</v>
      </c>
      <c r="B29">
        <v>0</v>
      </c>
      <c r="C29">
        <v>0</v>
      </c>
      <c r="D29">
        <v>40</v>
      </c>
    </row>
    <row r="30" spans="1:4" x14ac:dyDescent="0.25">
      <c r="A30">
        <v>115</v>
      </c>
      <c r="B30">
        <v>0</v>
      </c>
      <c r="C30">
        <v>0</v>
      </c>
      <c r="D30">
        <v>40</v>
      </c>
    </row>
    <row r="31" spans="1:4" x14ac:dyDescent="0.25">
      <c r="A31">
        <v>120</v>
      </c>
      <c r="B31">
        <v>0</v>
      </c>
      <c r="C31">
        <v>0</v>
      </c>
      <c r="D31">
        <v>40</v>
      </c>
    </row>
    <row r="32" spans="1:4" x14ac:dyDescent="0.25">
      <c r="A32">
        <v>125</v>
      </c>
      <c r="B32">
        <v>0</v>
      </c>
      <c r="C32">
        <v>0</v>
      </c>
      <c r="D32">
        <v>40</v>
      </c>
    </row>
    <row r="33" spans="1:4" x14ac:dyDescent="0.25">
      <c r="A33">
        <v>130</v>
      </c>
      <c r="B33">
        <v>0</v>
      </c>
      <c r="C33">
        <v>0</v>
      </c>
      <c r="D33">
        <v>40</v>
      </c>
    </row>
    <row r="34" spans="1:4" x14ac:dyDescent="0.25">
      <c r="A34">
        <v>135</v>
      </c>
      <c r="B34">
        <v>20</v>
      </c>
      <c r="C34">
        <v>0</v>
      </c>
      <c r="D34">
        <v>40</v>
      </c>
    </row>
    <row r="35" spans="1:4" x14ac:dyDescent="0.25">
      <c r="A35">
        <v>140</v>
      </c>
      <c r="B35">
        <v>40</v>
      </c>
      <c r="C35">
        <v>0</v>
      </c>
      <c r="D35">
        <v>40</v>
      </c>
    </row>
    <row r="36" spans="1:4" x14ac:dyDescent="0.25">
      <c r="A36">
        <v>145</v>
      </c>
      <c r="B36">
        <v>5</v>
      </c>
      <c r="C36">
        <v>0</v>
      </c>
      <c r="D36">
        <v>40</v>
      </c>
    </row>
    <row r="37" spans="1:4" x14ac:dyDescent="0.25">
      <c r="A37">
        <v>150</v>
      </c>
      <c r="B37">
        <v>40</v>
      </c>
      <c r="C37">
        <v>0</v>
      </c>
      <c r="D37">
        <v>30</v>
      </c>
    </row>
    <row r="38" spans="1:4" x14ac:dyDescent="0.25">
      <c r="A38">
        <v>155</v>
      </c>
      <c r="B38">
        <v>5</v>
      </c>
      <c r="C38">
        <v>0</v>
      </c>
      <c r="D38">
        <v>0</v>
      </c>
    </row>
    <row r="39" spans="1:4" x14ac:dyDescent="0.25">
      <c r="A39">
        <v>160</v>
      </c>
      <c r="B39">
        <v>40</v>
      </c>
      <c r="C39">
        <v>0</v>
      </c>
      <c r="D39">
        <v>0</v>
      </c>
    </row>
    <row r="40" spans="1:4" x14ac:dyDescent="0.25">
      <c r="A40">
        <v>165</v>
      </c>
      <c r="B40">
        <v>40</v>
      </c>
      <c r="C40">
        <v>0</v>
      </c>
    </row>
    <row r="41" spans="1:4" x14ac:dyDescent="0.25">
      <c r="A41">
        <v>170</v>
      </c>
      <c r="B41">
        <v>40</v>
      </c>
      <c r="C41">
        <v>0</v>
      </c>
    </row>
    <row r="42" spans="1:4" x14ac:dyDescent="0.25">
      <c r="A42">
        <v>175</v>
      </c>
      <c r="B42">
        <v>40</v>
      </c>
      <c r="C42">
        <v>0</v>
      </c>
    </row>
    <row r="43" spans="1:4" x14ac:dyDescent="0.25">
      <c r="A43">
        <v>180</v>
      </c>
      <c r="B43">
        <v>40</v>
      </c>
    </row>
    <row r="44" spans="1:4" x14ac:dyDescent="0.25">
      <c r="B44">
        <v>40</v>
      </c>
    </row>
    <row r="45" spans="1:4" x14ac:dyDescent="0.25">
      <c r="B45">
        <v>40</v>
      </c>
    </row>
    <row r="46" spans="1:4" x14ac:dyDescent="0.25">
      <c r="B46">
        <v>40</v>
      </c>
    </row>
    <row r="47" spans="1:4" x14ac:dyDescent="0.25">
      <c r="B47">
        <v>40</v>
      </c>
    </row>
    <row r="48" spans="1:4" x14ac:dyDescent="0.25">
      <c r="B48">
        <v>40</v>
      </c>
    </row>
    <row r="49" spans="2:2" x14ac:dyDescent="0.25">
      <c r="B49">
        <v>30</v>
      </c>
    </row>
  </sheetData>
  <mergeCells count="1">
    <mergeCell ref="B3:D3"/>
  </mergeCells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6638-FF93-43DC-B240-E0A0C3174BF8}">
  <dimension ref="A1:BU6"/>
  <sheetViews>
    <sheetView topLeftCell="A4" workbookViewId="0">
      <selection activeCell="AU1" sqref="AU1:BU6"/>
    </sheetView>
  </sheetViews>
  <sheetFormatPr baseColWidth="10" defaultColWidth="12" defaultRowHeight="15.6" x14ac:dyDescent="0.3"/>
  <cols>
    <col min="1" max="1" width="12.125" style="136" bestFit="1" customWidth="1"/>
    <col min="2" max="2" width="11.875" style="136" bestFit="1" customWidth="1"/>
    <col min="3" max="3" width="17.5" style="136" bestFit="1" customWidth="1"/>
    <col min="4" max="4" width="16.125" style="136" bestFit="1" customWidth="1"/>
    <col min="5" max="5" width="17.5" style="136" bestFit="1" customWidth="1"/>
    <col min="6" max="6" width="16.625" style="136" bestFit="1" customWidth="1"/>
    <col min="7" max="7" width="17.125" style="136" bestFit="1" customWidth="1"/>
    <col min="8" max="8" width="16.125" style="136" bestFit="1" customWidth="1"/>
    <col min="9" max="10" width="17.125" style="136" bestFit="1" customWidth="1"/>
    <col min="11" max="11" width="17.375" style="136" bestFit="1" customWidth="1"/>
    <col min="12" max="12" width="16.625" style="136" bestFit="1" customWidth="1"/>
    <col min="13" max="15" width="16.875" style="136" bestFit="1" customWidth="1"/>
    <col min="16" max="17" width="16.375" style="136" bestFit="1" customWidth="1"/>
    <col min="18" max="18" width="16.625" style="136" bestFit="1" customWidth="1"/>
    <col min="19" max="19" width="14" style="136" bestFit="1" customWidth="1"/>
    <col min="20" max="20" width="16.875" style="136" bestFit="1" customWidth="1"/>
    <col min="21" max="21" width="17" style="136" bestFit="1" customWidth="1"/>
    <col min="22" max="22" width="16.625" style="136" bestFit="1" customWidth="1"/>
    <col min="23" max="23" width="15" style="136" bestFit="1" customWidth="1"/>
    <col min="24" max="24" width="16.5" style="136" bestFit="1" customWidth="1"/>
    <col min="25" max="25" width="17" style="136" bestFit="1" customWidth="1"/>
    <col min="26" max="26" width="16.875" style="136" bestFit="1" customWidth="1"/>
    <col min="27" max="27" width="15.375" style="136" bestFit="1" customWidth="1"/>
    <col min="28" max="28" width="16.875" style="136" bestFit="1" customWidth="1"/>
    <col min="29" max="29" width="16" style="136" bestFit="1" customWidth="1"/>
    <col min="30" max="30" width="16.375" style="136" bestFit="1" customWidth="1"/>
    <col min="31" max="31" width="16" style="136" bestFit="1" customWidth="1"/>
    <col min="32" max="32" width="16.375" style="136" bestFit="1" customWidth="1"/>
    <col min="33" max="33" width="16" style="136" bestFit="1" customWidth="1"/>
    <col min="34" max="35" width="15.875" style="136" bestFit="1" customWidth="1"/>
    <col min="36" max="36" width="17.375" style="136" bestFit="1" customWidth="1"/>
    <col min="37" max="38" width="16.375" style="136" bestFit="1" customWidth="1"/>
    <col min="39" max="39" width="16.125" style="136" bestFit="1" customWidth="1"/>
    <col min="40" max="40" width="16.375" style="136" bestFit="1" customWidth="1"/>
    <col min="41" max="45" width="18.375" style="136" bestFit="1" customWidth="1"/>
    <col min="46" max="46" width="18.375" style="136" customWidth="1"/>
    <col min="47" max="47" width="17.5" style="136" bestFit="1" customWidth="1"/>
    <col min="48" max="48" width="15.875" style="136" bestFit="1" customWidth="1"/>
    <col min="49" max="50" width="16.875" style="136" bestFit="1" customWidth="1"/>
    <col min="51" max="51" width="17.5" style="136" bestFit="1" customWidth="1"/>
    <col min="52" max="52" width="14.875" style="136" bestFit="1" customWidth="1"/>
    <col min="53" max="53" width="15.375" style="136" bestFit="1" customWidth="1"/>
    <col min="54" max="54" width="12.5" style="136" bestFit="1" customWidth="1"/>
    <col min="55" max="55" width="15" style="136" bestFit="1" customWidth="1"/>
    <col min="56" max="57" width="16.875" style="136" bestFit="1" customWidth="1"/>
    <col min="58" max="58" width="17.5" style="136" bestFit="1" customWidth="1"/>
    <col min="59" max="59" width="15.625" style="136" bestFit="1" customWidth="1"/>
    <col min="60" max="60" width="18" style="136" bestFit="1" customWidth="1"/>
    <col min="61" max="61" width="15" style="136" bestFit="1" customWidth="1"/>
    <col min="62" max="62" width="17.125" style="136" bestFit="1" customWidth="1"/>
    <col min="63" max="63" width="13.875" style="136" bestFit="1" customWidth="1"/>
    <col min="64" max="64" width="14.625" style="136" bestFit="1" customWidth="1"/>
    <col min="65" max="65" width="17.875" style="136" bestFit="1" customWidth="1"/>
    <col min="66" max="66" width="17.125" style="136" bestFit="1" customWidth="1"/>
    <col min="67" max="67" width="22" style="136" bestFit="1" customWidth="1"/>
    <col min="68" max="68" width="13.125" style="136" bestFit="1" customWidth="1"/>
    <col min="69" max="69" width="16.125" style="136" bestFit="1" customWidth="1"/>
    <col min="70" max="70" width="17" style="136" bestFit="1" customWidth="1"/>
    <col min="71" max="71" width="15.625" style="136" bestFit="1" customWidth="1"/>
    <col min="72" max="72" width="16.5" style="136" bestFit="1" customWidth="1"/>
    <col min="73" max="73" width="15.625" style="136" bestFit="1" customWidth="1"/>
    <col min="74" max="16384" width="12" style="136"/>
  </cols>
  <sheetData>
    <row r="1" spans="1:73" ht="62.4" x14ac:dyDescent="0.3">
      <c r="A1" s="133" t="s">
        <v>199</v>
      </c>
      <c r="B1" s="133" t="s">
        <v>200</v>
      </c>
      <c r="C1" s="133" t="s">
        <v>201</v>
      </c>
      <c r="D1" s="133" t="s">
        <v>202</v>
      </c>
      <c r="E1" s="133" t="s">
        <v>203</v>
      </c>
      <c r="F1" s="133" t="s">
        <v>204</v>
      </c>
      <c r="G1" s="133" t="s">
        <v>205</v>
      </c>
      <c r="H1" s="133" t="s">
        <v>206</v>
      </c>
      <c r="I1" s="133" t="s">
        <v>207</v>
      </c>
      <c r="J1" s="133" t="s">
        <v>208</v>
      </c>
      <c r="K1" s="133" t="s">
        <v>209</v>
      </c>
      <c r="L1" s="133" t="s">
        <v>210</v>
      </c>
      <c r="M1" s="133" t="s">
        <v>211</v>
      </c>
      <c r="N1" s="133" t="s">
        <v>212</v>
      </c>
      <c r="O1" s="133" t="s">
        <v>213</v>
      </c>
      <c r="P1" s="133" t="s">
        <v>214</v>
      </c>
      <c r="Q1" s="133" t="s">
        <v>215</v>
      </c>
      <c r="R1" s="133" t="s">
        <v>216</v>
      </c>
      <c r="S1" s="133" t="s">
        <v>217</v>
      </c>
      <c r="T1" s="133" t="s">
        <v>218</v>
      </c>
      <c r="U1" s="133" t="s">
        <v>219</v>
      </c>
      <c r="V1" s="133" t="s">
        <v>220</v>
      </c>
      <c r="W1" s="133" t="s">
        <v>221</v>
      </c>
      <c r="X1" s="133" t="s">
        <v>222</v>
      </c>
      <c r="Y1" s="133" t="s">
        <v>223</v>
      </c>
      <c r="Z1" s="133" t="s">
        <v>224</v>
      </c>
      <c r="AA1" s="133" t="s">
        <v>225</v>
      </c>
      <c r="AB1" s="133" t="s">
        <v>226</v>
      </c>
      <c r="AC1" s="133" t="s">
        <v>227</v>
      </c>
      <c r="AD1" s="133" t="s">
        <v>228</v>
      </c>
      <c r="AE1" s="133" t="s">
        <v>229</v>
      </c>
      <c r="AF1" s="133" t="s">
        <v>230</v>
      </c>
      <c r="AG1" s="133" t="s">
        <v>231</v>
      </c>
      <c r="AH1" s="133" t="s">
        <v>232</v>
      </c>
      <c r="AI1" s="133" t="s">
        <v>233</v>
      </c>
      <c r="AJ1" s="133" t="s">
        <v>234</v>
      </c>
      <c r="AK1" s="133" t="s">
        <v>235</v>
      </c>
      <c r="AL1" s="133" t="s">
        <v>236</v>
      </c>
      <c r="AM1" s="133" t="s">
        <v>237</v>
      </c>
      <c r="AN1" s="133" t="s">
        <v>238</v>
      </c>
      <c r="AO1" s="133" t="s">
        <v>239</v>
      </c>
      <c r="AP1" s="133" t="s">
        <v>3</v>
      </c>
      <c r="AQ1" s="133" t="s">
        <v>240</v>
      </c>
      <c r="AR1" s="133" t="s">
        <v>241</v>
      </c>
      <c r="AS1" s="133" t="s">
        <v>45</v>
      </c>
      <c r="AT1" s="133"/>
      <c r="AU1" s="134" t="s">
        <v>242</v>
      </c>
      <c r="AV1" s="134" t="s">
        <v>243</v>
      </c>
      <c r="AW1" s="134" t="s">
        <v>244</v>
      </c>
      <c r="AX1" s="134" t="s">
        <v>245</v>
      </c>
      <c r="AY1" s="134" t="s">
        <v>246</v>
      </c>
      <c r="AZ1" s="134" t="s">
        <v>247</v>
      </c>
      <c r="BA1" s="134" t="s">
        <v>248</v>
      </c>
      <c r="BB1" s="134" t="s">
        <v>249</v>
      </c>
      <c r="BC1" s="134" t="s">
        <v>250</v>
      </c>
      <c r="BD1" s="134" t="s">
        <v>251</v>
      </c>
      <c r="BE1" s="134" t="s">
        <v>252</v>
      </c>
      <c r="BF1" s="134" t="s">
        <v>253</v>
      </c>
      <c r="BG1" s="134" t="s">
        <v>254</v>
      </c>
      <c r="BH1" s="134" t="s">
        <v>255</v>
      </c>
      <c r="BI1" s="134" t="s">
        <v>256</v>
      </c>
      <c r="BJ1" s="134" t="s">
        <v>257</v>
      </c>
      <c r="BK1" s="134" t="s">
        <v>258</v>
      </c>
      <c r="BL1" s="134" t="s">
        <v>259</v>
      </c>
      <c r="BM1" s="134" t="s">
        <v>260</v>
      </c>
      <c r="BN1" s="134" t="s">
        <v>261</v>
      </c>
      <c r="BO1" s="134" t="s">
        <v>262</v>
      </c>
      <c r="BP1" s="134" t="s">
        <v>263</v>
      </c>
      <c r="BQ1" s="134" t="s">
        <v>202</v>
      </c>
      <c r="BR1" s="134" t="s">
        <v>264</v>
      </c>
      <c r="BS1" s="135" t="s">
        <v>265</v>
      </c>
      <c r="BT1" s="135" t="s">
        <v>266</v>
      </c>
      <c r="BU1" s="135" t="s">
        <v>267</v>
      </c>
    </row>
    <row r="2" spans="1:73" x14ac:dyDescent="0.3">
      <c r="A2" s="133" t="s">
        <v>268</v>
      </c>
      <c r="B2" s="133">
        <v>2</v>
      </c>
      <c r="C2" s="137">
        <v>5966</v>
      </c>
      <c r="D2" s="138">
        <f>Resumen[[#This Row],[Horas netas de operación al año]]/8760</f>
        <v>0.68105022831050233</v>
      </c>
      <c r="E2" s="137">
        <f>F2/C2</f>
        <v>41.354676500167614</v>
      </c>
      <c r="F2" s="137">
        <v>246722</v>
      </c>
      <c r="G2" s="137">
        <v>5398064.2000000002</v>
      </c>
      <c r="H2" s="137">
        <f>Resumen[[#This Row],[Energía electrica consumida]]/Resumen[[#This Row],[Fruta procesada]]</f>
        <v>21.879136031646954</v>
      </c>
      <c r="I2" s="137">
        <f t="shared" ref="I2:I4" si="0">G2/1000</f>
        <v>5398.0641999999998</v>
      </c>
      <c r="J2" s="137">
        <v>120893.78</v>
      </c>
      <c r="K2" s="137">
        <f>J2*[1]Variables!$C$9</f>
        <v>117508754.16</v>
      </c>
      <c r="L2" s="137">
        <f>Resumen[[#This Row],[Cantidad de agua en caldera (kg)]]/Resumen[[#This Row],[Fruta procesada]]</f>
        <v>476.28</v>
      </c>
      <c r="M2" s="139">
        <f>Resumen[[#This Row],[Cantidad de agua en caldera (kg)]]/Resumen[[#This Row],[Horas netas de operación al año]]</f>
        <v>19696.405323499832</v>
      </c>
      <c r="N2" s="137">
        <v>598</v>
      </c>
      <c r="O2" s="137">
        <v>34875</v>
      </c>
      <c r="P2" s="139">
        <v>55401.571428571435</v>
      </c>
      <c r="Q2" s="137">
        <f>P2/F2*1000</f>
        <v>224.55059309089353</v>
      </c>
      <c r="R2" s="138">
        <f>P2/F2</f>
        <v>0.22455059309089354</v>
      </c>
      <c r="S2" s="137">
        <v>35473</v>
      </c>
      <c r="T2" s="137">
        <v>30914</v>
      </c>
      <c r="U2" s="138">
        <f>T2/F2</f>
        <v>0.12529891943158697</v>
      </c>
      <c r="V2" s="140">
        <f>T2*1000/F2</f>
        <v>125.29891943158697</v>
      </c>
      <c r="W2" s="137">
        <v>26030</v>
      </c>
      <c r="X2" s="141">
        <f t="shared" ref="X2:X4" si="1">W2/T2</f>
        <v>0.84201332729507672</v>
      </c>
      <c r="Y2" s="137">
        <v>10168</v>
      </c>
      <c r="Z2" s="138">
        <f>Y2/F2</f>
        <v>4.1212376683068395E-2</v>
      </c>
      <c r="AA2" s="142">
        <f>AB2*1000/F2</f>
        <v>41.212376683068392</v>
      </c>
      <c r="AB2" s="137">
        <v>10168</v>
      </c>
      <c r="AC2" s="141">
        <f t="shared" ref="AC2:AC4" si="2">AB2/Y2</f>
        <v>1</v>
      </c>
      <c r="AD2" s="137">
        <v>135697</v>
      </c>
      <c r="AE2" s="143">
        <f>AD2/F2</f>
        <v>0.54999959468551651</v>
      </c>
      <c r="AF2" s="137" t="s">
        <v>269</v>
      </c>
      <c r="AG2" s="137" t="s">
        <v>269</v>
      </c>
      <c r="AH2" s="139">
        <v>97777</v>
      </c>
      <c r="AI2" s="137">
        <v>4583</v>
      </c>
      <c r="AJ2" s="138">
        <f t="shared" ref="AJ2:AJ4" si="3">1 -AI2/AH2</f>
        <v>0.95312803624574283</v>
      </c>
      <c r="AK2" s="144"/>
      <c r="AL2" s="144"/>
      <c r="AM2" s="144">
        <v>1</v>
      </c>
      <c r="AN2" s="144"/>
      <c r="AO2" s="145">
        <f t="shared" ref="AO2:AR4" si="4">$G2/$C2*AK2</f>
        <v>0</v>
      </c>
      <c r="AP2" s="145">
        <f t="shared" si="4"/>
        <v>0</v>
      </c>
      <c r="AQ2" s="145">
        <f t="shared" si="4"/>
        <v>904.8045926919209</v>
      </c>
      <c r="AR2" s="145">
        <f t="shared" si="4"/>
        <v>0</v>
      </c>
      <c r="AS2" s="145">
        <f t="shared" ref="AS2:AS4" si="5">AO2+AP2+AQ2+AR2</f>
        <v>904.8045926919209</v>
      </c>
      <c r="AT2" s="145"/>
      <c r="AU2" s="146" t="e">
        <f>#REF!/#REF!</f>
        <v>#REF!</v>
      </c>
      <c r="AV2" s="147" t="e">
        <f>(#REF!*1000*[1]Biomass_Propierties!$L$15)/1000000000</f>
        <v>#REF!</v>
      </c>
      <c r="AW2" s="147" t="e">
        <f>+LineaBASE[[#This Row],[EFB (TJ)]]*1000000/Resumen[[#This Row],[Fruta procesada]]</f>
        <v>#REF!</v>
      </c>
      <c r="AX2" s="148" t="e">
        <f>+LineaBASE[[#This Row],[EFB (TJ)]]*1000000/(Resumen[[#This Row],[Horas netas de operación al año]]*3600)</f>
        <v>#REF!</v>
      </c>
      <c r="AY2" s="148" t="e">
        <f>#REF!/#REF!</f>
        <v>#REF!</v>
      </c>
      <c r="AZ2" s="147" t="e">
        <f>#REF!*1000*[1]Biomass_Propierties!$N$15/1000000000</f>
        <v>#REF!</v>
      </c>
      <c r="BA2" s="147" t="e">
        <f>#REF!*1000*[1]Biomass_Propierties!$N$15/1000000000</f>
        <v>#REF!</v>
      </c>
      <c r="BB2" s="147" t="e">
        <f>+LineaBASE[[#This Row],[MF (TJ)]]*1000000/(Resumen[[#This Row],[Horas netas de operación al año]]*3600)</f>
        <v>#REF!</v>
      </c>
      <c r="BC2" s="147" t="e">
        <f>+LineaBASE[[#This Row],[Energía fibra en caldera (TJ)]]*1000000/(Resumen[[#This Row],[Horas netas de operación al año]]*3600)</f>
        <v>#REF!</v>
      </c>
      <c r="BD2" s="147">
        <f>IF(Resumen[[#This Row],[Biomass]]=0,0,LineaBASE[[#This Row],[Fibra Caldera (MW)]])</f>
        <v>0</v>
      </c>
      <c r="BE2" s="147" t="e">
        <f>(+LineaBASE[[#This Row],[MF (TJ)]]*1000000)/Resumen[[#This Row],[Fruta procesada]]</f>
        <v>#REF!</v>
      </c>
      <c r="BF2" s="148" t="e">
        <f>#REF!/#REF!</f>
        <v>#REF!</v>
      </c>
      <c r="BG2" s="147" t="e">
        <f>#REF!*1000*[1]Biomass_Propierties!$O$15/1000000000</f>
        <v>#REF!</v>
      </c>
      <c r="BH2" s="147" t="e">
        <f>+LineaBASE[[#This Row],[PKS (TJ)]]*1000000/Resumen[[#This Row],[Fruta procesada]]</f>
        <v>#REF!</v>
      </c>
      <c r="BI2" s="147" t="e">
        <f>#REF!*1000*[1]Biomass_Propierties!$O$15/1000000000</f>
        <v>#REF!</v>
      </c>
      <c r="BJ2" s="147" t="e">
        <f>+LineaBASE[[#This Row],[PKS (TJ)]]*1000000/(Resumen[[#This Row],[Horas netas de operación al año]]*3600)</f>
        <v>#REF!</v>
      </c>
      <c r="BK2" s="147">
        <f>IF(LineaBASE[[#This Row],[Fibra cogeneración (MW)]]=0,0,LineaBASE[[#This Row],[PKS caldera (MW)]])</f>
        <v>0</v>
      </c>
      <c r="BL2" s="147" t="e">
        <f>+LineaBASE[[#This Row],[Energía cuesco en caldera (TJ)]]*1000000/(Resumen[[#This Row],[Horas netas de operación al año]]*3600)</f>
        <v>#REF!</v>
      </c>
      <c r="BM2" s="147" t="e">
        <f>+LineaBASE[[#This Row],[EFB (TJ)]]+LineaBASE[[#This Row],[MF (TJ)]]+LineaBASE[[#This Row],[PKS (TJ)]]</f>
        <v>#REF!</v>
      </c>
      <c r="BN2" s="147" t="e">
        <f>+LineaBASE[[#This Row],[Total PKS (MW)]]+LineaBASE[[#This Row],[total Fibra (MW)]]+LineaBASE[[#This Row],[Potencial tusa (MW)]]</f>
        <v>#REF!</v>
      </c>
      <c r="BO2" s="147">
        <f>+[1]Scenario2!AI2</f>
        <v>0</v>
      </c>
      <c r="BP2" s="147">
        <f>LineaBASE[[#This Row],[POME (TJ)]]*1000000/(Resumen[[#This Row],[Horas netas de operación al año]]*3600)</f>
        <v>0</v>
      </c>
      <c r="BQ2" s="147">
        <f>IF(Resumen[[#This Row],[Biogas]]=0,0,LineaBASE[[#This Row],[POME (MW)]])</f>
        <v>0</v>
      </c>
      <c r="BR2" s="147">
        <f>LineaBASE[[#This Row],[POME (TJ)]]*1000000/Resumen[[#This Row],[Fruta procesada]]</f>
        <v>0</v>
      </c>
      <c r="BS2" s="139" t="e">
        <f>(LineaBASE[[#This Row],[Energía cuesco en caldera (TJ)]]+LineaBASE[[#This Row],[Energía fibra en caldera (TJ)]])*1000000/#REF!</f>
        <v>#REF!</v>
      </c>
      <c r="BT2" s="139" t="e">
        <f>+LineaBASE[[#This Row],[Potencial especifico (POME)
(MJ/ t RFF)22]]+LineaBASE[[#This Row],[Potencial especifico (cuesco)
(MJ/ t RFF)]]+LineaBASE[[#This Row],[Potencial especifico (fibra)
(MJ/ t RFF)]]+LineaBASE[[#This Row],[Potencial especifico (tusa)
(MJ/ t RFF)]]</f>
        <v>#REF!</v>
      </c>
      <c r="BU2" s="137" t="e">
        <f>LineaBASE[[#This Row],[Boiler biomass energy 
(MJ/t RFF)]]*Resumen[[#This Row],[Fruta procesada]]/(Resumen[[#This Row],[Horas netas de operación al año]]*3600)</f>
        <v>#REF!</v>
      </c>
    </row>
    <row r="3" spans="1:73" x14ac:dyDescent="0.3">
      <c r="A3" s="133" t="s">
        <v>268</v>
      </c>
      <c r="B3" s="133">
        <v>3</v>
      </c>
      <c r="C3" s="137">
        <v>6357</v>
      </c>
      <c r="D3" s="138">
        <f>Resumen[[#This Row],[Horas netas de operación al año]]/8760</f>
        <v>0.72568493150684932</v>
      </c>
      <c r="E3" s="137">
        <f t="shared" ref="E3:E4" si="6">F3/C3</f>
        <v>27.681138901997798</v>
      </c>
      <c r="F3" s="137">
        <v>175969</v>
      </c>
      <c r="G3" s="137">
        <v>3083731</v>
      </c>
      <c r="H3" s="137">
        <f>Resumen[[#This Row],[Energía electrica consumida]]/Resumen[[#This Row],[Fruta procesada]]</f>
        <v>17.524285527564516</v>
      </c>
      <c r="I3" s="137">
        <f t="shared" si="0"/>
        <v>3083.7310000000002</v>
      </c>
      <c r="J3" s="137">
        <v>83534.5</v>
      </c>
      <c r="K3" s="137">
        <f>J3*[1]Variables!$C$9</f>
        <v>81195534</v>
      </c>
      <c r="L3" s="137">
        <f>Resumen[[#This Row],[Cantidad de agua en caldera (kg)]]/Resumen[[#This Row],[Fruta procesada]]</f>
        <v>461.41953412248751</v>
      </c>
      <c r="M3" s="139">
        <f>Resumen[[#This Row],[Cantidad de agua en caldera (kg)]]/Resumen[[#This Row],[Horas netas de operación al año]]</f>
        <v>12772.618216139688</v>
      </c>
      <c r="N3" s="137"/>
      <c r="O3" s="137">
        <v>27262</v>
      </c>
      <c r="P3" s="139">
        <v>42840.285714285717</v>
      </c>
      <c r="Q3" s="137">
        <f>P3/F3*1000</f>
        <v>243.45359531670761</v>
      </c>
      <c r="R3" s="138">
        <f>P3/F3</f>
        <v>0.2434535953167076</v>
      </c>
      <c r="S3" s="137">
        <v>23172.7</v>
      </c>
      <c r="T3" s="137">
        <v>20746.7451</v>
      </c>
      <c r="U3" s="138">
        <f>T3/F3</f>
        <v>0.1179</v>
      </c>
      <c r="V3" s="140">
        <f>T3*1000/F3</f>
        <v>117.9</v>
      </c>
      <c r="W3" s="137">
        <v>10241.7451</v>
      </c>
      <c r="X3" s="141">
        <f t="shared" si="1"/>
        <v>0.49365551322072204</v>
      </c>
      <c r="Y3" s="137">
        <v>10558.14</v>
      </c>
      <c r="Z3" s="138">
        <f>Y3/F3</f>
        <v>0.06</v>
      </c>
      <c r="AA3" s="142">
        <f>AB3*1000/F3</f>
        <v>47.17387721700981</v>
      </c>
      <c r="AB3" s="137">
        <v>8301.14</v>
      </c>
      <c r="AC3" s="141">
        <f t="shared" si="2"/>
        <v>0.78623128695016353</v>
      </c>
      <c r="AD3" s="137">
        <v>105606</v>
      </c>
      <c r="AE3" s="143">
        <f>AD3/F3</f>
        <v>0.60013979735066969</v>
      </c>
      <c r="AF3" s="137" t="s">
        <v>269</v>
      </c>
      <c r="AG3" s="137" t="s">
        <v>269</v>
      </c>
      <c r="AH3" s="139">
        <v>74496</v>
      </c>
      <c r="AI3" s="137">
        <v>2623</v>
      </c>
      <c r="AJ3" s="138">
        <f t="shared" si="3"/>
        <v>0.96479005584192445</v>
      </c>
      <c r="AK3" s="144">
        <v>0.79120000000000001</v>
      </c>
      <c r="AL3" s="144"/>
      <c r="AM3" s="144">
        <v>0.19769999999999999</v>
      </c>
      <c r="AN3" s="144">
        <v>1.0999999999999999E-2</v>
      </c>
      <c r="AO3" s="145">
        <f t="shared" si="4"/>
        <v>383.80493427717477</v>
      </c>
      <c r="AP3" s="145">
        <f t="shared" si="4"/>
        <v>0</v>
      </c>
      <c r="AQ3" s="145">
        <f t="shared" si="4"/>
        <v>95.902724351109015</v>
      </c>
      <c r="AR3" s="145">
        <f t="shared" si="4"/>
        <v>5.3360140003146137</v>
      </c>
      <c r="AS3" s="145">
        <f t="shared" si="5"/>
        <v>485.04367262859836</v>
      </c>
      <c r="AT3" s="145"/>
      <c r="AU3" s="146">
        <f>P2/C2</f>
        <v>9.2862171351946756</v>
      </c>
      <c r="AV3" s="147">
        <f>(P2*1000*[1]Biomass_Propierties!$L$15)/1000000000</f>
        <v>356.25637061721261</v>
      </c>
      <c r="AW3" s="147">
        <f>+LineaBASE[[#This Row],[EFB (TJ)]]*1000000/Resumen[[#This Row],[Fruta procesada]]</f>
        <v>2024.5405191665157</v>
      </c>
      <c r="AX3" s="148">
        <f>+LineaBASE[[#This Row],[EFB (TJ)]]*1000000/(Resumen[[#This Row],[Horas netas de operación al año]]*3600)</f>
        <v>15.567107589936404</v>
      </c>
      <c r="AY3" s="148">
        <f>T2/C2</f>
        <v>5.1816962789138454</v>
      </c>
      <c r="AZ3" s="147">
        <f>T2*1000*[1]Biomass_Propierties!$N$15/1000000000</f>
        <v>371.60516880951104</v>
      </c>
      <c r="BA3" s="147">
        <f>W2*1000*[1]Biomass_Propierties!$N$15/1000000000</f>
        <v>312.89650462934503</v>
      </c>
      <c r="BB3" s="147">
        <f>+LineaBASE[[#This Row],[MF (TJ)]]*1000000/(Resumen[[#This Row],[Horas netas de operación al año]]*3600)</f>
        <v>16.237794242982847</v>
      </c>
      <c r="BC3" s="147">
        <f>+LineaBASE[[#This Row],[Energía fibra en caldera (TJ)]]*1000000/(Resumen[[#This Row],[Horas netas de operación al año]]*3600)</f>
        <v>13.672439158466828</v>
      </c>
      <c r="BD3" s="147">
        <f>IF(Resumen[[#This Row],[Biomass]]=0,0,LineaBASE[[#This Row],[Fibra Caldera (MW)]])</f>
        <v>13.672439158466828</v>
      </c>
      <c r="BE3" s="147">
        <f>(+LineaBASE[[#This Row],[MF (TJ)]]*1000000)/Resumen[[#This Row],[Fruta procesada]]</f>
        <v>2111.7649632009675</v>
      </c>
      <c r="BF3" s="148">
        <f>Y2/C2</f>
        <v>1.7043245055313443</v>
      </c>
      <c r="BG3" s="147">
        <f>Y2*1000*[1]Biomass_Propierties!$O$15/1000000000</f>
        <v>185.36367309421999</v>
      </c>
      <c r="BH3" s="147">
        <f>+LineaBASE[[#This Row],[PKS (TJ)]]*1000000/Resumen[[#This Row],[Fruta procesada]]</f>
        <v>1053.3882280073194</v>
      </c>
      <c r="BI3" s="147">
        <f>AB2*1000*[1]Biomass_Propierties!$O$15/1000000000</f>
        <v>185.36367309421999</v>
      </c>
      <c r="BJ3" s="147">
        <f>+LineaBASE[[#This Row],[PKS (TJ)]]*1000000/(Resumen[[#This Row],[Horas netas de operación al año]]*3600)</f>
        <v>8.0997182936666476</v>
      </c>
      <c r="BK3" s="147">
        <f>IF(LineaBASE[[#This Row],[Fibra cogeneración (MW)]]=0,0,LineaBASE[[#This Row],[PKS caldera (MW)]])</f>
        <v>8.0997182936666476</v>
      </c>
      <c r="BL3" s="147">
        <f>+LineaBASE[[#This Row],[Energía cuesco en caldera (TJ)]]*1000000/(Resumen[[#This Row],[Horas netas de operación al año]]*3600)</f>
        <v>8.0997182936666476</v>
      </c>
      <c r="BM3" s="147">
        <f>+LineaBASE[[#This Row],[EFB (TJ)]]+LineaBASE[[#This Row],[MF (TJ)]]+LineaBASE[[#This Row],[PKS (TJ)]]</f>
        <v>913.22521252094361</v>
      </c>
      <c r="BN3" s="147">
        <f>+LineaBASE[[#This Row],[Total PKS (MW)]]+LineaBASE[[#This Row],[total Fibra (MW)]]+LineaBASE[[#This Row],[Potencial tusa (MW)]]</f>
        <v>39.904620126585897</v>
      </c>
      <c r="BO3" s="147" t="str">
        <f>+[1]Scenario2!AI3</f>
        <v>Potencial POME (TJ)</v>
      </c>
      <c r="BP3" s="147" t="e">
        <f>LineaBASE[[#This Row],[POME (TJ)]]*1000000/(Resumen[[#This Row],[Horas netas de operación al año]]*3600)</f>
        <v>#VALUE!</v>
      </c>
      <c r="BQ3" s="147">
        <f>IF(Resumen[[#This Row],[Biogas]]=0,0,LineaBASE[[#This Row],[POME (MW)]])</f>
        <v>0</v>
      </c>
      <c r="BR3" s="147" t="e">
        <f>LineaBASE[[#This Row],[POME (TJ)]]*1000000/Resumen[[#This Row],[Fruta procesada]]</f>
        <v>#VALUE!</v>
      </c>
      <c r="BS3" s="139">
        <f>(LineaBASE[[#This Row],[Energía cuesco en caldera (TJ)]]+LineaBASE[[#This Row],[Energía fibra en caldera (TJ)]])*1000000/F2</f>
        <v>2019.5206658650829</v>
      </c>
      <c r="BT3" s="139" t="e">
        <f>+LineaBASE[[#This Row],[Potencial especifico (POME)
(MJ/ t RFF)22]]+LineaBASE[[#This Row],[Potencial especifico (cuesco)
(MJ/ t RFF)]]+LineaBASE[[#This Row],[Potencial especifico (fibra)
(MJ/ t RFF)]]+LineaBASE[[#This Row],[Potencial especifico (tusa)
(MJ/ t RFF)]]</f>
        <v>#VALUE!</v>
      </c>
      <c r="BU3" s="137">
        <f>LineaBASE[[#This Row],[Boiler biomass energy 
(MJ/t RFF)]]*Resumen[[#This Row],[Fruta procesada]]/(Resumen[[#This Row],[Horas netas de operación al año]]*3600)</f>
        <v>15.528508907574013</v>
      </c>
    </row>
    <row r="4" spans="1:73" x14ac:dyDescent="0.3">
      <c r="A4" s="133" t="s">
        <v>268</v>
      </c>
      <c r="B4" s="133">
        <v>4</v>
      </c>
      <c r="C4" s="137">
        <v>6642</v>
      </c>
      <c r="D4" s="138">
        <f>Resumen[[#This Row],[Horas netas de operación al año]]/8760</f>
        <v>0.75821917808219175</v>
      </c>
      <c r="E4" s="137">
        <f t="shared" si="6"/>
        <v>24.339900632339656</v>
      </c>
      <c r="F4" s="137">
        <v>161665.62</v>
      </c>
      <c r="G4" s="137">
        <v>2740934.19</v>
      </c>
      <c r="H4" s="137">
        <f>Resumen[[#This Row],[Energía electrica consumida]]/Resumen[[#This Row],[Fruta procesada]]</f>
        <v>16.95434186934736</v>
      </c>
      <c r="I4" s="137">
        <f t="shared" si="0"/>
        <v>2740.9341899999999</v>
      </c>
      <c r="J4" s="137">
        <v>137065.60000000001</v>
      </c>
      <c r="K4" s="137">
        <f>J4*[1]Variables!$C$9</f>
        <v>133227763.2</v>
      </c>
      <c r="L4" s="137">
        <f>Resumen[[#This Row],[Cantidad de agua en caldera (kg)]]/Resumen[[#This Row],[Fruta procesada]]</f>
        <v>824.09459228251501</v>
      </c>
      <c r="M4" s="139">
        <f>Resumen[[#This Row],[Cantidad de agua en caldera (kg)]]/Resumen[[#This Row],[Horas netas de operación al año]]</f>
        <v>20058.38048780488</v>
      </c>
      <c r="N4" s="137">
        <v>37026</v>
      </c>
      <c r="O4" s="137"/>
      <c r="P4" s="139">
        <v>37026</v>
      </c>
      <c r="Q4" s="137">
        <f>P4/F4*1000</f>
        <v>229.02828690478532</v>
      </c>
      <c r="R4" s="138">
        <f>P4/F4</f>
        <v>0.22902828690478533</v>
      </c>
      <c r="S4" s="137">
        <v>37026</v>
      </c>
      <c r="T4" s="137">
        <v>22633</v>
      </c>
      <c r="U4" s="138">
        <f>T4/F4</f>
        <v>0.1399988445286017</v>
      </c>
      <c r="V4" s="140">
        <f>T4*1000/F4</f>
        <v>139.99884452860169</v>
      </c>
      <c r="W4" s="137">
        <v>15843.099999999999</v>
      </c>
      <c r="X4" s="141">
        <f t="shared" si="1"/>
        <v>0.7</v>
      </c>
      <c r="Y4" s="137">
        <v>7275</v>
      </c>
      <c r="Z4" s="138">
        <f>Y4/F4</f>
        <v>4.5000291342092401E-2</v>
      </c>
      <c r="AA4" s="142">
        <f>AB4*1000/F4</f>
        <v>36.921950381287004</v>
      </c>
      <c r="AB4" s="137">
        <v>5969.01</v>
      </c>
      <c r="AC4" s="141">
        <f t="shared" si="2"/>
        <v>0.8204824742268042</v>
      </c>
      <c r="AD4" s="137">
        <v>106699.3092</v>
      </c>
      <c r="AE4" s="143">
        <f>AD4/F4</f>
        <v>0.66</v>
      </c>
      <c r="AF4" s="137" t="s">
        <v>269</v>
      </c>
      <c r="AG4" s="137" t="s">
        <v>269</v>
      </c>
      <c r="AH4" s="139">
        <v>91573</v>
      </c>
      <c r="AI4" s="137">
        <v>2490</v>
      </c>
      <c r="AJ4" s="138">
        <f t="shared" si="3"/>
        <v>0.97280857894794315</v>
      </c>
      <c r="AK4" s="144"/>
      <c r="AL4" s="144"/>
      <c r="AM4" s="144">
        <v>0.86399999999999999</v>
      </c>
      <c r="AN4" s="144">
        <v>0.13600000000000001</v>
      </c>
      <c r="AO4" s="145">
        <f t="shared" si="4"/>
        <v>0</v>
      </c>
      <c r="AP4" s="145">
        <f t="shared" si="4"/>
        <v>0</v>
      </c>
      <c r="AQ4" s="145">
        <f t="shared" si="4"/>
        <v>356.54428487804876</v>
      </c>
      <c r="AR4" s="145">
        <f t="shared" si="4"/>
        <v>56.122711508581752</v>
      </c>
      <c r="AS4" s="145">
        <f t="shared" si="5"/>
        <v>412.6669963866305</v>
      </c>
      <c r="AT4" s="145"/>
      <c r="AU4" s="146">
        <f>P3/C3</f>
        <v>6.7390727881525434</v>
      </c>
      <c r="AV4" s="147">
        <f>(P3*1000*[1]Biomass_Propierties!$L$15)/1000000000</f>
        <v>275.48180153072229</v>
      </c>
      <c r="AW4" s="147">
        <f>+LineaBASE[[#This Row],[EFB (TJ)]]*1000000/Resumen[[#This Row],[Fruta procesada]]</f>
        <v>1704.0221757150489</v>
      </c>
      <c r="AX4" s="148">
        <f>+LineaBASE[[#This Row],[EFB (TJ)]]*1000000/(Resumen[[#This Row],[Horas netas de operación al año]]*3600)</f>
        <v>11.521036231168754</v>
      </c>
      <c r="AY4" s="148">
        <f>T3/C3</f>
        <v>3.2636062765455405</v>
      </c>
      <c r="AZ4" s="147">
        <f>T3*1000*[1]Biomass_Propierties!$N$15/1000000000</f>
        <v>249.38855260184371</v>
      </c>
      <c r="BA4" s="147">
        <f>W3*1000*[1]Biomass_Propierties!$N$15/1000000000</f>
        <v>123.11203392603618</v>
      </c>
      <c r="BB4" s="147">
        <f>+LineaBASE[[#This Row],[MF (TJ)]]*1000000/(Resumen[[#This Row],[Horas netas de operación al año]]*3600)</f>
        <v>10.429779877289459</v>
      </c>
      <c r="BC4" s="147">
        <f>+LineaBASE[[#This Row],[Energía fibra en caldera (TJ)]]*1000000/(Resumen[[#This Row],[Horas netas de operación al año]]*3600)</f>
        <v>5.148718338102487</v>
      </c>
      <c r="BD4" s="147">
        <f>IF(Resumen[[#This Row],[Biomass]]=0,0,LineaBASE[[#This Row],[Fibra Caldera (MW)]])</f>
        <v>0</v>
      </c>
      <c r="BE4" s="147">
        <f>(+LineaBASE[[#This Row],[MF (TJ)]]*1000000)/Resumen[[#This Row],[Fruta procesada]]</f>
        <v>1542.6195909918492</v>
      </c>
      <c r="BF4" s="148">
        <f>Y3/C3</f>
        <v>1.6608683341198678</v>
      </c>
      <c r="BG4" s="147">
        <f>Y3*1000*[1]Biomass_Propierties!$O$15/1000000000</f>
        <v>192.47596493341933</v>
      </c>
      <c r="BH4" s="147">
        <f>+LineaBASE[[#This Row],[PKS (TJ)]]*1000000/Resumen[[#This Row],[Fruta procesada]]</f>
        <v>1190.5806870590009</v>
      </c>
      <c r="BI4" s="147">
        <f>AB3*1000*[1]Biomass_Propierties!$O$15/1000000000</f>
        <v>151.33062561657681</v>
      </c>
      <c r="BJ4" s="147">
        <f>+LineaBASE[[#This Row],[PKS (TJ)]]*1000000/(Resumen[[#This Row],[Horas netas de operación al año]]*3600)</f>
        <v>8.0496154493885435</v>
      </c>
      <c r="BK4" s="147">
        <f>IF(LineaBASE[[#This Row],[Fibra cogeneración (MW)]]=0,0,LineaBASE[[#This Row],[PKS caldera (MW)]])</f>
        <v>0</v>
      </c>
      <c r="BL4" s="147">
        <f>+LineaBASE[[#This Row],[Energía cuesco en caldera (TJ)]]*1000000/(Resumen[[#This Row],[Horas netas de operación al año]]*3600)</f>
        <v>6.3288595142266733</v>
      </c>
      <c r="BM4" s="147">
        <f>+LineaBASE[[#This Row],[EFB (TJ)]]+LineaBASE[[#This Row],[MF (TJ)]]+LineaBASE[[#This Row],[PKS (TJ)]]</f>
        <v>717.34631906598543</v>
      </c>
      <c r="BN4" s="147">
        <f>+LineaBASE[[#This Row],[Total PKS (MW)]]+LineaBASE[[#This Row],[total Fibra (MW)]]+LineaBASE[[#This Row],[Potencial tusa (MW)]]</f>
        <v>30.000431557846756</v>
      </c>
      <c r="BO4" s="147">
        <f>+[1]Scenario2!AI4</f>
        <v>135.05774387358338</v>
      </c>
      <c r="BP4" s="147">
        <f>LineaBASE[[#This Row],[POME (TJ)]]*1000000/(Resumen[[#This Row],[Horas netas de operación al año]]*3600)</f>
        <v>5.6483047222047986</v>
      </c>
      <c r="BQ4" s="147">
        <f>IF(Resumen[[#This Row],[Biogas]]=0,0,LineaBASE[[#This Row],[POME (MW)]])</f>
        <v>0</v>
      </c>
      <c r="BR4" s="147">
        <f>LineaBASE[[#This Row],[POME (TJ)]]*1000000/Resumen[[#This Row],[Fruta procesada]]</f>
        <v>835.41413365181404</v>
      </c>
      <c r="BS4" s="139">
        <f>(LineaBASE[[#This Row],[Energía cuesco en caldera (TJ)]]+LineaBASE[[#This Row],[Energía fibra en caldera (TJ)]])*1000000/F3</f>
        <v>1559.607996536964</v>
      </c>
      <c r="BT4" s="139">
        <f>+LineaBASE[[#This Row],[Potencial especifico (POME)
(MJ/ t RFF)22]]+LineaBASE[[#This Row],[Potencial especifico (cuesco)
(MJ/ t RFF)]]+LineaBASE[[#This Row],[Potencial especifico (fibra)
(MJ/ t RFF)]]+LineaBASE[[#This Row],[Potencial especifico (tusa)
(MJ/ t RFF)]]</f>
        <v>5272.6365874177136</v>
      </c>
      <c r="BU4" s="137">
        <f>LineaBASE[[#This Row],[Boiler biomass energy 
(MJ/t RFF)]]*Resumen[[#This Row],[Fruta procesada]]/(Resumen[[#This Row],[Horas netas de operación al año]]*3600)</f>
        <v>10.544639905864454</v>
      </c>
    </row>
    <row r="5" spans="1:73" x14ac:dyDescent="0.3">
      <c r="A5" s="149"/>
      <c r="B5" s="149"/>
      <c r="C5" s="150">
        <f>SUBTOTAL(107,Resumen[Horas netas de operación al año])</f>
        <v>339.3822819967674</v>
      </c>
      <c r="D5" s="151">
        <f>SUBTOTAL(101,Resumen[Columna1])</f>
        <v>0.72165144596651443</v>
      </c>
      <c r="E5" s="150">
        <f>SUBTOTAL(101,Resumen[Capacidad de la Planta 
( t RFF/h)])</f>
        <v>31.125238678168358</v>
      </c>
      <c r="F5" s="150">
        <f>SUBTOTAL(109,Resumen[Fruta procesada])</f>
        <v>584356.62</v>
      </c>
      <c r="G5" s="149"/>
      <c r="H5" s="152">
        <f>SUBTOTAL(101,Resumen[Columna2])</f>
        <v>18.785921142852942</v>
      </c>
      <c r="I5" s="149"/>
      <c r="J5" s="149"/>
      <c r="K5" s="149"/>
      <c r="L5" s="150">
        <f>SUBTOTAL(107,Resumen[Vapor especifico (kg/t rFF)])</f>
        <v>205.23523977058156</v>
      </c>
      <c r="M5" s="153">
        <f>SUBTOTAL(101,Resumen[Consumo de vapor proceso (kG/h)])</f>
        <v>17509.134675814799</v>
      </c>
      <c r="N5" s="149"/>
      <c r="O5" s="149"/>
      <c r="P5" s="149"/>
      <c r="Q5" s="154">
        <f>SUBTOTAL(101,Resumen[Tusa por RFF])</f>
        <v>232.34415843746214</v>
      </c>
      <c r="R5" s="152">
        <f>SUBTOTAL(107,Resumen[Ratio Tusa:RFF])</f>
        <v>9.8781134992059743E-3</v>
      </c>
      <c r="S5" s="149"/>
      <c r="T5" s="149"/>
      <c r="U5" s="149"/>
      <c r="V5" s="154">
        <f>SUBTOTAL(101,Resumen[Fibra por RFF])</f>
        <v>127.73258798672957</v>
      </c>
      <c r="W5" s="149"/>
      <c r="X5" s="155">
        <f>SUBTOTAL(101,Resumen[Relación uso fibra en caldera])</f>
        <v>0.67855628017193281</v>
      </c>
      <c r="Y5" s="149"/>
      <c r="Z5" s="149"/>
      <c r="AA5" s="154">
        <f>SUBTOTAL(101,Resumen[Cuesco por RFF])</f>
        <v>41.769401427121736</v>
      </c>
      <c r="AB5" s="149"/>
      <c r="AC5" s="155">
        <f>SUBTOTAL(101,Resumen[Relación uso cuesco])</f>
        <v>0.86890458705898921</v>
      </c>
      <c r="AD5" s="149"/>
      <c r="AE5" s="152">
        <f>SUBTOTAL(107,Resumen[Efluente por RFF])</f>
        <v>5.5071730427797803E-2</v>
      </c>
      <c r="AF5" s="149"/>
      <c r="AG5" s="149"/>
      <c r="AH5" s="150">
        <f>SUBTOTAL(101,Resumen[DQO entrada Lagunas])</f>
        <v>87948.666666666672</v>
      </c>
      <c r="AI5" s="149"/>
      <c r="AJ5" s="155">
        <f>SUBTOTAL(101,Resumen[Eficiencia de remoción DQO])</f>
        <v>0.96357555701187014</v>
      </c>
      <c r="AK5" s="149"/>
      <c r="AL5" s="149"/>
      <c r="AM5" s="149"/>
      <c r="AN5" s="149"/>
      <c r="AO5" s="149">
        <f>SUBTOTAL(109,Resumen[Biomass])</f>
        <v>383.80493427717477</v>
      </c>
      <c r="AP5" s="149">
        <f>SUBTOTAL(109,Resumen[Biogas])</f>
        <v>0</v>
      </c>
      <c r="AQ5" s="149">
        <f>SUBTOTAL(109,Resumen[Electric grid])</f>
        <v>1357.2516019210786</v>
      </c>
      <c r="AR5" s="149">
        <f>SUBTOTAL(109,Resumen[Diesel])</f>
        <v>61.458725508896364</v>
      </c>
      <c r="AS5" s="149">
        <f>SUBTOTAL(109,Resumen[Total])</f>
        <v>1802.5152617071496</v>
      </c>
      <c r="AT5" s="149"/>
      <c r="AU5" s="146">
        <f>P4/C4</f>
        <v>5.5745257452574526</v>
      </c>
      <c r="AV5" s="147">
        <f>(P4*1000*[1]Biomass_Propierties!$L$15)/1000000000</f>
        <v>238.09339768420801</v>
      </c>
      <c r="AW5" s="147" t="e">
        <f>+LineaBASE[[#This Row],[EFB (TJ)]]*1000000/Resumen[[#This Row],[Fruta procesada]]</f>
        <v>#VALUE!</v>
      </c>
      <c r="AX5" s="148" t="e">
        <f>+LineaBASE[[#This Row],[EFB (TJ)]]*1000000/(Resumen[[#This Row],[Horas netas de operación al año]]*3600)</f>
        <v>#VALUE!</v>
      </c>
      <c r="AY5" s="148">
        <f>T4/C4</f>
        <v>3.4075579644685337</v>
      </c>
      <c r="AZ5" s="147">
        <f>T4*1000*[1]Biomass_Propierties!$N$15/1000000000</f>
        <v>272.06248902327951</v>
      </c>
      <c r="BA5" s="147">
        <f>W4*1000*[1]Biomass_Propierties!$N$15/1000000000</f>
        <v>190.44374231629564</v>
      </c>
      <c r="BB5" s="147" t="e">
        <f>+LineaBASE[[#This Row],[MF (TJ)]]*1000000/(Resumen[[#This Row],[Horas netas de operación al año]]*3600)</f>
        <v>#VALUE!</v>
      </c>
      <c r="BC5" s="147" t="e">
        <f>+LineaBASE[[#This Row],[Energía fibra en caldera (TJ)]]*1000000/(Resumen[[#This Row],[Horas netas de operación al año]]*3600)</f>
        <v>#VALUE!</v>
      </c>
      <c r="BD5" s="147" t="e">
        <f>IF(Resumen[[#This Row],[Biomass]]=0,0,LineaBASE[[#This Row],[Fibra Caldera (MW)]])</f>
        <v>#VALUE!</v>
      </c>
      <c r="BE5" s="147" t="e">
        <f>(+LineaBASE[[#This Row],[MF (TJ)]]*1000000)/Resumen[[#This Row],[Fruta procesada]]</f>
        <v>#VALUE!</v>
      </c>
      <c r="BF5" s="148">
        <f>Y4/C4</f>
        <v>1.0953026196928637</v>
      </c>
      <c r="BG5" s="147">
        <f>Y4*1000*[1]Biomass_Propierties!$O$15/1000000000</f>
        <v>132.6239891581875</v>
      </c>
      <c r="BH5" s="147" t="e">
        <f>+LineaBASE[[#This Row],[PKS (TJ)]]*1000000/Resumen[[#This Row],[Fruta procesada]]</f>
        <v>#VALUE!</v>
      </c>
      <c r="BI5" s="147">
        <f>AB4*1000*[1]Biomass_Propierties!$O$15/1000000000</f>
        <v>108.81565876633852</v>
      </c>
      <c r="BJ5" s="147" t="e">
        <f>+LineaBASE[[#This Row],[PKS (TJ)]]*1000000/(Resumen[[#This Row],[Horas netas de operación al año]]*3600)</f>
        <v>#VALUE!</v>
      </c>
      <c r="BK5" s="147" t="e">
        <f>IF(LineaBASE[[#This Row],[Fibra cogeneración (MW)]]=0,0,LineaBASE[[#This Row],[PKS caldera (MW)]])</f>
        <v>#VALUE!</v>
      </c>
      <c r="BL5" s="147" t="e">
        <f>+LineaBASE[[#This Row],[Energía cuesco en caldera (TJ)]]*1000000/(Resumen[[#This Row],[Horas netas de operación al año]]*3600)</f>
        <v>#VALUE!</v>
      </c>
      <c r="BM5" s="147">
        <f>+LineaBASE[[#This Row],[EFB (TJ)]]+LineaBASE[[#This Row],[MF (TJ)]]+LineaBASE[[#This Row],[PKS (TJ)]]</f>
        <v>642.77987586567497</v>
      </c>
      <c r="BN5" s="147" t="e">
        <f>+LineaBASE[[#This Row],[Total PKS (MW)]]+LineaBASE[[#This Row],[total Fibra (MW)]]+LineaBASE[[#This Row],[Potencial tusa (MW)]]</f>
        <v>#VALUE!</v>
      </c>
      <c r="BO5" s="147">
        <f>+[1]Scenario2!AI5</f>
        <v>152.50698844603056</v>
      </c>
      <c r="BP5" s="147" t="e">
        <f>LineaBASE[[#This Row],[POME (TJ)]]*1000000/(Resumen[[#This Row],[Horas netas de operación al año]]*3600)</f>
        <v>#VALUE!</v>
      </c>
      <c r="BQ5" s="147" t="e">
        <f>IF(Resumen[[#This Row],[Biogas]]=0,0,LineaBASE[[#This Row],[POME (MW)]])</f>
        <v>#VALUE!</v>
      </c>
      <c r="BR5" s="147" t="e">
        <f>LineaBASE[[#This Row],[POME (TJ)]]*1000000/Resumen[[#This Row],[Fruta procesada]]</f>
        <v>#VALUE!</v>
      </c>
      <c r="BS5" s="139">
        <f>(LineaBASE[[#This Row],[Energía cuesco en caldera (TJ)]]+LineaBASE[[#This Row],[Energía fibra en caldera (TJ)]])*1000000/F4</f>
        <v>1851.1010633097758</v>
      </c>
      <c r="BT5" s="139" t="e">
        <f>+LineaBASE[[#This Row],[Potencial especifico (POME)
(MJ/ t RFF)22]]+LineaBASE[[#This Row],[Potencial especifico (cuesco)
(MJ/ t RFF)]]+LineaBASE[[#This Row],[Potencial especifico (fibra)
(MJ/ t RFF)]]+LineaBASE[[#This Row],[Potencial especifico (tusa)
(MJ/ t RFF)]]</f>
        <v>#VALUE!</v>
      </c>
      <c r="BU5" s="137" t="e">
        <f>LineaBASE[[#This Row],[Boiler biomass energy 
(MJ/t RFF)]]*Resumen[[#This Row],[Fruta procesada]]/(Resumen[[#This Row],[Horas netas de operación al año]]*3600)</f>
        <v>#VALUE!</v>
      </c>
    </row>
    <row r="6" spans="1:73" x14ac:dyDescent="0.3">
      <c r="AU6" s="136" t="s">
        <v>45</v>
      </c>
      <c r="AV6" s="156" t="e">
        <f>SUBTOTAL(109,LineaBASE[EFB (TJ)])</f>
        <v>#REF!</v>
      </c>
      <c r="AW6" s="156" t="e">
        <f>SUBTOTAL(107,LineaBASE[Potencial especifico (tusa)
(MJ/ t RFF)])</f>
        <v>#REF!</v>
      </c>
      <c r="AX6" s="156" t="e">
        <f>SUBTOTAL(109,LineaBASE[Potencial tusa (MW)])</f>
        <v>#REF!</v>
      </c>
      <c r="AZ6" s="156" t="e">
        <f>SUBTOTAL(109,LineaBASE[MF (TJ)])</f>
        <v>#REF!</v>
      </c>
      <c r="BA6" s="156" t="e">
        <f>SUBTOTAL(109,LineaBASE[Energía fibra en caldera (TJ)])</f>
        <v>#REF!</v>
      </c>
      <c r="BB6" s="156" t="e">
        <f>SUBTOTAL(109,LineaBASE[total Fibra (MW)])</f>
        <v>#REF!</v>
      </c>
      <c r="BC6" s="139" t="e">
        <f>SUBTOTAL(109,LineaBASE[Fibra Caldera (MW)])</f>
        <v>#REF!</v>
      </c>
      <c r="BD6" s="139" t="e">
        <f>SUBTOTAL(109,LineaBASE[Fibra cogeneración (MW)])</f>
        <v>#VALUE!</v>
      </c>
      <c r="BE6" s="156" t="e">
        <f>SUBTOTAL(107,LineaBASE[Potencial especifico (fibra)
(MJ/ t RFF)])</f>
        <v>#REF!</v>
      </c>
      <c r="BF6" s="156"/>
      <c r="BG6" s="156" t="e">
        <f>SUBTOTAL(109,LineaBASE[PKS (TJ)])</f>
        <v>#REF!</v>
      </c>
      <c r="BH6" s="156" t="e">
        <f>SUBTOTAL(107,LineaBASE[Potencial especifico (cuesco)
(MJ/ t RFF)])</f>
        <v>#REF!</v>
      </c>
      <c r="BI6" s="156" t="e">
        <f>SUBTOTAL(109,LineaBASE[Energía cuesco en caldera (TJ)])</f>
        <v>#REF!</v>
      </c>
      <c r="BJ6" s="156" t="e">
        <f>SUBTOTAL(109,LineaBASE[Total PKS (MW)])</f>
        <v>#REF!</v>
      </c>
      <c r="BK6" s="156" t="e">
        <f>SUBTOTAL(109,LineaBASE[PKS Cogen])</f>
        <v>#VALUE!</v>
      </c>
      <c r="BL6" s="139" t="e">
        <f>SUBTOTAL(109,LineaBASE[PKS caldera (MW)])</f>
        <v>#REF!</v>
      </c>
      <c r="BM6" s="156" t="e">
        <f>SUBTOTAL(109,LineaBASE[Potencial energético biomasa solida (TJ)])</f>
        <v>#REF!</v>
      </c>
      <c r="BN6" s="139" t="e">
        <f>SUBTOTAL(109,LineaBASE[Potencial energético (MW)])</f>
        <v>#REF!</v>
      </c>
      <c r="BO6" s="157">
        <f>SUBTOTAL(109,LineaBASE[POME (TJ)])</f>
        <v>287.56473231961394</v>
      </c>
      <c r="BP6" s="139" t="e">
        <f>SUBTOTAL(109,LineaBASE[POME (MW)])</f>
        <v>#VALUE!</v>
      </c>
      <c r="BQ6" s="139" t="e">
        <f>SUBTOTAL(109,LineaBASE[Columna1])</f>
        <v>#VALUE!</v>
      </c>
      <c r="BR6" s="157" t="e">
        <f>SUBTOTAL(107,LineaBASE[Potencial especifico (POME)
(MJ/ t RFF)22])</f>
        <v>#VALUE!</v>
      </c>
      <c r="BT6" s="156" t="e">
        <f>SUBTOTAL(101,LineaBASE[Biomass energy potential])</f>
        <v>#REF!</v>
      </c>
    </row>
  </sheetData>
  <pageMargins left="0.7" right="0.7" top="0.75" bottom="0.75" header="0.3" footer="0.3"/>
  <pageSetup paperSize="9" orientation="portrait" r:id="rId1"/>
  <legacyDrawing r:id="rId2"/>
  <tableParts count="2"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32E3-3D68-4099-8E15-71E775A8A646}">
  <dimension ref="A1:BH73"/>
  <sheetViews>
    <sheetView tabSelected="1" topLeftCell="B12" zoomScale="70" zoomScaleNormal="70" workbookViewId="0">
      <selection activeCell="N27" sqref="N27"/>
    </sheetView>
  </sheetViews>
  <sheetFormatPr baseColWidth="10" defaultColWidth="12" defaultRowHeight="12" x14ac:dyDescent="0.25"/>
  <cols>
    <col min="1" max="1" width="12" style="216"/>
    <col min="2" max="2" width="42.5" style="216" bestFit="1" customWidth="1"/>
    <col min="3" max="3" width="15.125" style="216" bestFit="1" customWidth="1"/>
    <col min="4" max="4" width="12" style="216"/>
    <col min="5" max="5" width="10.875" style="216" bestFit="1" customWidth="1"/>
    <col min="6" max="7" width="11" style="216" bestFit="1" customWidth="1"/>
    <col min="8" max="8" width="10.875" style="216" bestFit="1" customWidth="1"/>
    <col min="9" max="9" width="11.5" style="216" bestFit="1" customWidth="1"/>
    <col min="10" max="10" width="12" style="216"/>
    <col min="11" max="11" width="46.875" style="216" bestFit="1" customWidth="1"/>
    <col min="12" max="12" width="17.5" style="216" customWidth="1"/>
    <col min="13" max="16384" width="12" style="216"/>
  </cols>
  <sheetData>
    <row r="1" spans="1:31" ht="13.5" customHeight="1" x14ac:dyDescent="0.25"/>
    <row r="2" spans="1:31" ht="13.5" customHeight="1" thickBot="1" x14ac:dyDescent="0.3">
      <c r="D2" s="193">
        <v>30</v>
      </c>
      <c r="E2" s="193">
        <v>40</v>
      </c>
      <c r="F2" s="193">
        <v>30</v>
      </c>
      <c r="G2" s="193">
        <v>24</v>
      </c>
      <c r="H2" s="193">
        <v>24</v>
      </c>
      <c r="I2" s="193">
        <v>20</v>
      </c>
      <c r="M2" s="221">
        <v>30</v>
      </c>
      <c r="N2" s="221">
        <v>40</v>
      </c>
      <c r="O2" s="221">
        <v>30</v>
      </c>
      <c r="P2" s="221">
        <v>24</v>
      </c>
      <c r="Q2" s="221">
        <v>24</v>
      </c>
      <c r="R2" s="221">
        <v>20</v>
      </c>
    </row>
    <row r="3" spans="1:31" ht="13.5" customHeight="1" x14ac:dyDescent="0.3">
      <c r="B3" s="420" t="s">
        <v>292</v>
      </c>
      <c r="C3" s="417" t="s">
        <v>293</v>
      </c>
      <c r="D3" s="417" t="s">
        <v>294</v>
      </c>
      <c r="E3" s="417"/>
      <c r="F3" s="417"/>
      <c r="G3" s="417"/>
      <c r="H3" s="417"/>
      <c r="I3" s="419"/>
    </row>
    <row r="4" spans="1:31" ht="13.5" customHeight="1" x14ac:dyDescent="0.3">
      <c r="B4" s="421"/>
      <c r="C4" s="418"/>
      <c r="D4" s="334" t="s">
        <v>295</v>
      </c>
      <c r="E4" s="334" t="s">
        <v>296</v>
      </c>
      <c r="F4" s="334" t="s">
        <v>297</v>
      </c>
      <c r="G4" s="334" t="s">
        <v>298</v>
      </c>
      <c r="H4" s="334" t="s">
        <v>299</v>
      </c>
      <c r="I4" s="335" t="s">
        <v>300</v>
      </c>
    </row>
    <row r="5" spans="1:31" ht="13.5" customHeight="1" thickBot="1" x14ac:dyDescent="0.3">
      <c r="B5" s="336" t="s">
        <v>301</v>
      </c>
      <c r="C5" s="336" t="s">
        <v>302</v>
      </c>
      <c r="D5" s="336">
        <v>542</v>
      </c>
      <c r="E5" s="336">
        <v>442</v>
      </c>
      <c r="F5" s="336">
        <v>452</v>
      </c>
      <c r="G5" s="336">
        <v>517</v>
      </c>
      <c r="H5" s="336">
        <v>430</v>
      </c>
      <c r="I5" s="336">
        <v>470</v>
      </c>
      <c r="T5" s="216" t="e">
        <f>+Scenarios1!#REF!*M2</f>
        <v>#REF!</v>
      </c>
      <c r="U5" s="216" t="e">
        <f>+Scenarios1!#REF!*N2</f>
        <v>#REF!</v>
      </c>
      <c r="V5" s="216" t="e">
        <f>+Scenarios1!#REF!*O2</f>
        <v>#REF!</v>
      </c>
      <c r="W5" s="216" t="e">
        <f>+Scenarios1!#REF!*P2</f>
        <v>#REF!</v>
      </c>
      <c r="X5" s="216" t="e">
        <f>+Scenarios1!#REF!*Q2</f>
        <v>#REF!</v>
      </c>
      <c r="Y5" s="216" t="e">
        <f>+Scenarios1!#REF!*R2</f>
        <v>#REF!</v>
      </c>
    </row>
    <row r="6" spans="1:31" ht="13.5" customHeight="1" x14ac:dyDescent="0.25">
      <c r="B6" s="337" t="s">
        <v>303</v>
      </c>
      <c r="C6" s="338" t="s">
        <v>304</v>
      </c>
      <c r="D6" s="338">
        <v>19.5</v>
      </c>
      <c r="E6" s="338">
        <v>18.7</v>
      </c>
      <c r="F6" s="338">
        <v>20.100000000000001</v>
      </c>
      <c r="G6" s="338">
        <v>20.399999999999999</v>
      </c>
      <c r="H6" s="338">
        <v>21.7</v>
      </c>
      <c r="I6" s="338">
        <v>18.899999999999999</v>
      </c>
      <c r="J6" s="216">
        <f>+AVERAGE(D6:I6)</f>
        <v>19.883333333333336</v>
      </c>
      <c r="T6" s="216">
        <f>+L22*M2</f>
        <v>23175.000000000004</v>
      </c>
      <c r="U6" s="216">
        <f>+O22*N2</f>
        <v>26303.999999999996</v>
      </c>
      <c r="V6" s="216">
        <f>+R22*O2</f>
        <v>19458</v>
      </c>
      <c r="W6" s="216">
        <f>+U22*P2</f>
        <v>16358.399999999998</v>
      </c>
      <c r="X6" s="216">
        <f>+X22*Q2</f>
        <v>21749.760000000002</v>
      </c>
      <c r="Y6" s="216">
        <f>+AA22*R2</f>
        <v>7280</v>
      </c>
    </row>
    <row r="7" spans="1:31" ht="13.5" customHeight="1" x14ac:dyDescent="0.25">
      <c r="B7" s="337" t="s">
        <v>305</v>
      </c>
      <c r="C7" s="338" t="s">
        <v>306</v>
      </c>
      <c r="D7" s="338">
        <v>0.01</v>
      </c>
      <c r="E7" s="338">
        <v>0.38</v>
      </c>
      <c r="F7" s="338" t="s">
        <v>307</v>
      </c>
      <c r="G7" s="338">
        <v>0.09</v>
      </c>
      <c r="H7" s="338">
        <v>0.04</v>
      </c>
      <c r="I7" s="338">
        <v>0.1</v>
      </c>
      <c r="J7" s="216">
        <v>49.17</v>
      </c>
      <c r="K7" s="216">
        <f>+J7/J6</f>
        <v>2.4729253981559092</v>
      </c>
    </row>
    <row r="8" spans="1:31" ht="13.5" customHeight="1" x14ac:dyDescent="0.25">
      <c r="B8" s="339" t="s">
        <v>308</v>
      </c>
      <c r="C8" s="339"/>
      <c r="D8" s="339"/>
      <c r="E8" s="339"/>
      <c r="F8" s="339"/>
      <c r="G8" s="339"/>
      <c r="H8" s="339"/>
      <c r="I8" s="340"/>
    </row>
    <row r="9" spans="1:31" ht="13.5" customHeight="1" x14ac:dyDescent="0.25">
      <c r="B9" s="337" t="s">
        <v>309</v>
      </c>
      <c r="C9" s="338" t="s">
        <v>310</v>
      </c>
      <c r="D9" s="338">
        <v>58.2</v>
      </c>
      <c r="E9" s="338">
        <v>105.5</v>
      </c>
      <c r="F9" s="338">
        <v>98</v>
      </c>
      <c r="G9" s="338">
        <v>102.7</v>
      </c>
      <c r="H9" s="341">
        <f>+H41/H17*1000</f>
        <v>125.02885910901543</v>
      </c>
      <c r="I9" s="341">
        <f>+I41/I17*1000</f>
        <v>125.09478679123082</v>
      </c>
    </row>
    <row r="10" spans="1:31" ht="13.5" customHeight="1" x14ac:dyDescent="0.25">
      <c r="B10" s="337" t="s">
        <v>311</v>
      </c>
      <c r="C10" s="338" t="s">
        <v>310</v>
      </c>
      <c r="D10" s="338">
        <v>47.2</v>
      </c>
      <c r="E10" s="338">
        <v>41.2</v>
      </c>
      <c r="F10" s="338">
        <v>36.9</v>
      </c>
      <c r="G10" s="338">
        <v>31.28</v>
      </c>
      <c r="H10" s="338">
        <v>42.5</v>
      </c>
      <c r="I10" s="338">
        <v>45.9</v>
      </c>
    </row>
    <row r="11" spans="1:31" ht="13.5" customHeight="1" x14ac:dyDescent="0.25">
      <c r="B11" s="337" t="s">
        <v>312</v>
      </c>
      <c r="C11" s="338" t="s">
        <v>310</v>
      </c>
      <c r="D11" s="338">
        <v>243.5</v>
      </c>
      <c r="E11" s="338">
        <v>224.6</v>
      </c>
      <c r="F11" s="338">
        <v>229</v>
      </c>
      <c r="G11" s="338">
        <v>185.5</v>
      </c>
      <c r="H11" s="338">
        <v>243.3</v>
      </c>
      <c r="I11" s="338">
        <v>213.5</v>
      </c>
    </row>
    <row r="12" spans="1:31" ht="24" x14ac:dyDescent="0.25">
      <c r="B12" s="337" t="s">
        <v>313</v>
      </c>
      <c r="C12" s="338" t="s">
        <v>314</v>
      </c>
      <c r="D12" s="338" t="s">
        <v>315</v>
      </c>
      <c r="E12" s="338" t="s">
        <v>316</v>
      </c>
      <c r="F12" s="338" t="s">
        <v>317</v>
      </c>
      <c r="G12" s="338" t="s">
        <v>318</v>
      </c>
      <c r="H12" s="342" t="s">
        <v>319</v>
      </c>
      <c r="I12" s="338" t="s">
        <v>320</v>
      </c>
    </row>
    <row r="13" spans="1:31" ht="13.5" customHeight="1" thickBot="1" x14ac:dyDescent="0.3">
      <c r="B13" s="343" t="s">
        <v>321</v>
      </c>
      <c r="C13" s="344" t="s">
        <v>314</v>
      </c>
      <c r="D13" s="344" t="s">
        <v>322</v>
      </c>
      <c r="E13" s="344" t="s">
        <v>322</v>
      </c>
      <c r="F13" s="344" t="s">
        <v>322</v>
      </c>
      <c r="G13" s="344">
        <v>15</v>
      </c>
      <c r="H13" s="344" t="s">
        <v>322</v>
      </c>
      <c r="I13" s="344" t="s">
        <v>322</v>
      </c>
    </row>
    <row r="14" spans="1:31" ht="16.2" thickTop="1" x14ac:dyDescent="0.3">
      <c r="B14" s="332"/>
      <c r="C14" s="333"/>
      <c r="D14" s="334"/>
      <c r="E14" s="334"/>
      <c r="F14" s="334"/>
      <c r="G14" s="334"/>
      <c r="H14" s="334"/>
      <c r="I14" s="335"/>
      <c r="K14" s="261"/>
      <c r="L14" s="422" t="str">
        <f>+D15</f>
        <v>Planta A</v>
      </c>
      <c r="M14" s="423"/>
      <c r="N14" s="424"/>
      <c r="O14" s="422" t="str">
        <f>+E15</f>
        <v>Planta B</v>
      </c>
      <c r="P14" s="423"/>
      <c r="Q14" s="424"/>
      <c r="R14" s="422" t="str">
        <f>+F15</f>
        <v>Planta C</v>
      </c>
      <c r="S14" s="423"/>
      <c r="T14" s="424"/>
      <c r="U14" s="422" t="str">
        <f>+G15</f>
        <v>Planta D</v>
      </c>
      <c r="V14" s="423"/>
      <c r="W14" s="424"/>
      <c r="X14" s="415" t="str">
        <f>+H15</f>
        <v>Planta E</v>
      </c>
      <c r="Y14" s="415"/>
      <c r="Z14" s="415"/>
      <c r="AA14" s="415" t="str">
        <f>+I15</f>
        <v>Planta F</v>
      </c>
      <c r="AB14" s="415"/>
      <c r="AC14" s="415"/>
    </row>
    <row r="15" spans="1:31" ht="15.75" customHeight="1" x14ac:dyDescent="0.3">
      <c r="B15" s="332"/>
      <c r="C15" s="333"/>
      <c r="D15" s="334" t="s">
        <v>393</v>
      </c>
      <c r="E15" s="334" t="s">
        <v>394</v>
      </c>
      <c r="F15" s="334" t="s">
        <v>395</v>
      </c>
      <c r="G15" s="334" t="s">
        <v>396</v>
      </c>
      <c r="H15" s="334" t="s">
        <v>397</v>
      </c>
      <c r="I15" s="334" t="s">
        <v>398</v>
      </c>
      <c r="K15" s="261"/>
      <c r="L15" s="361" t="s">
        <v>484</v>
      </c>
      <c r="M15" s="361" t="s">
        <v>485</v>
      </c>
      <c r="N15" s="361" t="s">
        <v>486</v>
      </c>
      <c r="O15" s="361" t="s">
        <v>484</v>
      </c>
      <c r="P15" s="361" t="s">
        <v>485</v>
      </c>
      <c r="Q15" s="361" t="s">
        <v>486</v>
      </c>
      <c r="R15" s="361" t="s">
        <v>484</v>
      </c>
      <c r="S15" s="361" t="s">
        <v>485</v>
      </c>
      <c r="T15" s="361" t="s">
        <v>486</v>
      </c>
      <c r="U15" s="361" t="s">
        <v>484</v>
      </c>
      <c r="V15" s="361" t="s">
        <v>485</v>
      </c>
      <c r="W15" s="361" t="s">
        <v>486</v>
      </c>
      <c r="X15" s="361" t="s">
        <v>484</v>
      </c>
      <c r="Y15" s="361" t="s">
        <v>485</v>
      </c>
      <c r="Z15" s="361" t="s">
        <v>486</v>
      </c>
      <c r="AA15" s="361" t="s">
        <v>484</v>
      </c>
      <c r="AB15" s="361" t="s">
        <v>485</v>
      </c>
      <c r="AC15" s="361" t="s">
        <v>486</v>
      </c>
    </row>
    <row r="16" spans="1:31" ht="18.600000000000001" x14ac:dyDescent="0.4">
      <c r="A16" s="416"/>
      <c r="B16" s="346" t="s">
        <v>323</v>
      </c>
      <c r="C16" s="250" t="s">
        <v>324</v>
      </c>
      <c r="D16" s="250">
        <v>30000</v>
      </c>
      <c r="E16" s="250">
        <v>40000</v>
      </c>
      <c r="F16" s="250">
        <v>30000</v>
      </c>
      <c r="G16" s="250">
        <v>24000</v>
      </c>
      <c r="H16" s="250">
        <v>24000</v>
      </c>
      <c r="I16" s="347">
        <v>15000</v>
      </c>
      <c r="K16" s="360" t="s">
        <v>482</v>
      </c>
      <c r="L16" s="362">
        <v>850</v>
      </c>
      <c r="M16" s="362">
        <v>4950</v>
      </c>
      <c r="N16" s="261">
        <v>2100</v>
      </c>
      <c r="O16" s="261"/>
      <c r="P16" s="362">
        <v>6600</v>
      </c>
      <c r="Q16" s="261">
        <v>2800</v>
      </c>
      <c r="R16" s="362"/>
      <c r="S16" s="362">
        <v>4950</v>
      </c>
      <c r="T16" s="261">
        <v>2100</v>
      </c>
      <c r="U16" s="362">
        <v>0</v>
      </c>
      <c r="V16" s="362">
        <v>3960</v>
      </c>
      <c r="W16" s="261">
        <v>1680</v>
      </c>
      <c r="X16" s="362">
        <v>0</v>
      </c>
      <c r="Y16" s="362">
        <v>3960</v>
      </c>
      <c r="Z16" s="261">
        <v>1680</v>
      </c>
      <c r="AA16" s="362">
        <v>0</v>
      </c>
      <c r="AB16" s="362">
        <v>3300</v>
      </c>
      <c r="AC16" s="261">
        <v>1400</v>
      </c>
      <c r="AD16" s="233">
        <f>+M16+P16+S16+V16+Y16+AB16</f>
        <v>27720</v>
      </c>
      <c r="AE16" s="216">
        <f>+N16+Q16+T16+W16+Z16+AC16</f>
        <v>11760</v>
      </c>
    </row>
    <row r="17" spans="1:60" ht="18.600000000000001" x14ac:dyDescent="0.4">
      <c r="A17" s="416"/>
      <c r="B17" s="346" t="s">
        <v>325</v>
      </c>
      <c r="C17" s="250" t="s">
        <v>326</v>
      </c>
      <c r="D17" s="250">
        <v>153157</v>
      </c>
      <c r="E17" s="250">
        <v>206207</v>
      </c>
      <c r="F17" s="250">
        <v>177589</v>
      </c>
      <c r="G17" s="250">
        <v>131909</v>
      </c>
      <c r="H17" s="250">
        <v>75534</v>
      </c>
      <c r="I17" s="347">
        <v>38620</v>
      </c>
      <c r="K17" s="360" t="s">
        <v>483</v>
      </c>
      <c r="L17" s="261">
        <v>0</v>
      </c>
      <c r="M17" s="261">
        <v>1590</v>
      </c>
      <c r="N17" s="261">
        <v>4110</v>
      </c>
      <c r="O17" s="261"/>
      <c r="P17" s="261">
        <v>2120</v>
      </c>
      <c r="Q17" s="261">
        <v>5480</v>
      </c>
      <c r="R17" s="261"/>
      <c r="S17" s="261">
        <v>1590</v>
      </c>
      <c r="T17" s="261">
        <v>4110</v>
      </c>
      <c r="U17" s="261">
        <v>600</v>
      </c>
      <c r="V17" s="261">
        <v>1272</v>
      </c>
      <c r="W17" s="261">
        <v>3288</v>
      </c>
      <c r="X17" s="261">
        <v>0</v>
      </c>
      <c r="Y17" s="261">
        <v>1272</v>
      </c>
      <c r="Z17" s="261">
        <v>3288</v>
      </c>
      <c r="AA17" s="261">
        <v>0</v>
      </c>
      <c r="AB17" s="261">
        <v>1060</v>
      </c>
      <c r="AC17" s="261">
        <v>2740</v>
      </c>
      <c r="AD17" s="233">
        <f>+M17+P17+S17+V17+Y17+AB17</f>
        <v>8904</v>
      </c>
      <c r="AE17" s="216">
        <f>+N17+Q17+T17+W17+Z17+AC17</f>
        <v>23016</v>
      </c>
    </row>
    <row r="18" spans="1:60" ht="17.399999999999999" x14ac:dyDescent="0.3">
      <c r="A18" s="416"/>
      <c r="B18" s="346" t="s">
        <v>327</v>
      </c>
      <c r="C18" s="250" t="s">
        <v>328</v>
      </c>
      <c r="D18" s="348">
        <f>+D17/D16*1000</f>
        <v>5105.2333333333336</v>
      </c>
      <c r="E18" s="348">
        <f t="shared" ref="E18:I18" si="0">+E17/E16*1000</f>
        <v>5155.1750000000002</v>
      </c>
      <c r="F18" s="348">
        <f t="shared" si="0"/>
        <v>5919.6333333333332</v>
      </c>
      <c r="G18" s="348">
        <f t="shared" si="0"/>
        <v>5496.2083333333339</v>
      </c>
      <c r="H18" s="348">
        <f t="shared" si="0"/>
        <v>3147.25</v>
      </c>
      <c r="I18" s="349">
        <f t="shared" si="0"/>
        <v>2574.666666666667</v>
      </c>
      <c r="J18" s="350"/>
      <c r="K18" s="311"/>
      <c r="L18" s="233"/>
      <c r="N18" s="233"/>
      <c r="AD18" s="368">
        <f>SUM(AD16:AD17)</f>
        <v>36624</v>
      </c>
      <c r="AE18" s="294">
        <f>SUM(AE16:AE17)</f>
        <v>34776</v>
      </c>
      <c r="AF18" s="294"/>
      <c r="AG18" s="294"/>
      <c r="AH18" s="414"/>
      <c r="AI18" s="414"/>
      <c r="AJ18" s="414"/>
      <c r="AK18" s="414"/>
    </row>
    <row r="19" spans="1:60" ht="18.600000000000001" x14ac:dyDescent="0.4">
      <c r="A19" s="416"/>
      <c r="B19" s="346" t="s">
        <v>329</v>
      </c>
      <c r="C19" s="250" t="s">
        <v>330</v>
      </c>
      <c r="D19" s="250">
        <v>20.71</v>
      </c>
      <c r="E19" s="250">
        <v>20.55</v>
      </c>
      <c r="F19" s="250">
        <v>19.68</v>
      </c>
      <c r="G19" s="250">
        <v>19.899999999999999</v>
      </c>
      <c r="H19" s="250">
        <v>20.77</v>
      </c>
      <c r="I19" s="347">
        <v>19.3</v>
      </c>
      <c r="K19" s="311"/>
      <c r="M19" s="216">
        <f>+M22/D2</f>
        <v>54.01601945318874</v>
      </c>
      <c r="N19" s="216">
        <f>+N22/D2</f>
        <v>43.653256577280004</v>
      </c>
      <c r="P19" s="216">
        <f>+P22/E2</f>
        <v>56.994475573869749</v>
      </c>
      <c r="Q19" s="216">
        <f>+Q22/E2</f>
        <v>47.605709591999997</v>
      </c>
      <c r="S19" s="216">
        <f>+S22/F2</f>
        <v>48.737354865175377</v>
      </c>
      <c r="T19" s="216">
        <f>+T22/F2</f>
        <v>46.469272731839993</v>
      </c>
      <c r="V19" s="216">
        <f>+V22/G2</f>
        <v>66.26111018574035</v>
      </c>
      <c r="W19" s="216">
        <f>+W22/G2</f>
        <v>49.845495994559997</v>
      </c>
      <c r="Y19" s="216">
        <f>+Y22/H2</f>
        <v>61.901985230648314</v>
      </c>
      <c r="Z19" s="216">
        <f>+Z22/H2</f>
        <v>61.770828178080002</v>
      </c>
      <c r="AB19" s="216">
        <f>+AB22/I2</f>
        <v>65.06749612840035</v>
      </c>
      <c r="AC19" s="216">
        <f>+AC22/I2</f>
        <v>45.700513608960001</v>
      </c>
      <c r="AD19" s="251">
        <f>+AD18/410000</f>
        <v>8.9326829268292676E-2</v>
      </c>
      <c r="AE19" s="251">
        <f>+AE18/410000</f>
        <v>8.4819512195121946E-2</v>
      </c>
    </row>
    <row r="20" spans="1:60" ht="18.600000000000001" x14ac:dyDescent="0.4">
      <c r="A20" s="416"/>
      <c r="B20" s="346" t="s">
        <v>331</v>
      </c>
      <c r="C20" s="250" t="s">
        <v>332</v>
      </c>
      <c r="D20" s="348">
        <f>+D17*D19/100</f>
        <v>31718.814700000003</v>
      </c>
      <c r="E20" s="348">
        <f t="shared" ref="E20:I20" si="1">+E17*E19/100</f>
        <v>42375.538500000002</v>
      </c>
      <c r="F20" s="348">
        <f t="shared" si="1"/>
        <v>34949.515200000002</v>
      </c>
      <c r="G20" s="348">
        <f t="shared" si="1"/>
        <v>26249.890999999996</v>
      </c>
      <c r="H20" s="348">
        <f t="shared" si="1"/>
        <v>15688.4118</v>
      </c>
      <c r="I20" s="349">
        <f t="shared" si="1"/>
        <v>7453.66</v>
      </c>
      <c r="K20" s="261"/>
      <c r="L20" s="415" t="str">
        <f>+L14</f>
        <v>Planta A</v>
      </c>
      <c r="M20" s="415"/>
      <c r="N20" s="415"/>
      <c r="O20" s="415" t="str">
        <f>+O14</f>
        <v>Planta B</v>
      </c>
      <c r="P20" s="415"/>
      <c r="Q20" s="415"/>
      <c r="R20" s="415" t="str">
        <f>+R14</f>
        <v>Planta C</v>
      </c>
      <c r="S20" s="415"/>
      <c r="T20" s="415"/>
      <c r="U20" s="415" t="str">
        <f>+U14</f>
        <v>Planta D</v>
      </c>
      <c r="V20" s="415"/>
      <c r="W20" s="415"/>
      <c r="X20" s="415" t="str">
        <f>+X14</f>
        <v>Planta E</v>
      </c>
      <c r="Y20" s="415"/>
      <c r="Z20" s="415"/>
      <c r="AA20" s="415" t="str">
        <f>+AA14</f>
        <v>Planta F</v>
      </c>
      <c r="AB20" s="415"/>
      <c r="AC20" s="415"/>
      <c r="AF20" s="415" t="str">
        <f>+L20</f>
        <v>Planta A</v>
      </c>
      <c r="AG20" s="415"/>
      <c r="AH20" s="415" t="str">
        <f>+O20</f>
        <v>Planta B</v>
      </c>
      <c r="AI20" s="415"/>
      <c r="AJ20" s="415" t="str">
        <f>+R20</f>
        <v>Planta C</v>
      </c>
      <c r="AK20" s="415"/>
      <c r="AL20" s="415" t="str">
        <f>+U20</f>
        <v>Planta D</v>
      </c>
      <c r="AM20" s="415"/>
      <c r="AN20" s="415" t="str">
        <f>+X20</f>
        <v>Planta E</v>
      </c>
      <c r="AO20" s="415"/>
      <c r="AP20" s="415" t="str">
        <f>+AA20</f>
        <v>Planta F</v>
      </c>
      <c r="AQ20" s="415"/>
      <c r="AU20" s="415" t="str">
        <f t="shared" ref="AU20:AU27" si="2">AF27</f>
        <v>LB</v>
      </c>
      <c r="AV20" s="415"/>
      <c r="AW20" s="415" t="str">
        <f t="shared" ref="AW20:AW27" si="3">AH27</f>
        <v>ERI - 1</v>
      </c>
      <c r="AX20" s="415"/>
      <c r="AY20" s="415" t="str">
        <f t="shared" ref="AY20:AY27" si="4">AJ27</f>
        <v>ERI - 2</v>
      </c>
      <c r="AZ20" s="415"/>
      <c r="BA20" s="295"/>
      <c r="BC20" s="415" t="s">
        <v>689</v>
      </c>
      <c r="BD20" s="415"/>
      <c r="BE20" s="415"/>
      <c r="BF20" s="415" t="s">
        <v>688</v>
      </c>
      <c r="BG20" s="415"/>
      <c r="BH20" s="415"/>
    </row>
    <row r="21" spans="1:60" ht="18.600000000000001" x14ac:dyDescent="0.4">
      <c r="A21" s="416"/>
      <c r="B21" s="346" t="s">
        <v>333</v>
      </c>
      <c r="C21" s="250" t="s">
        <v>334</v>
      </c>
      <c r="D21" s="250">
        <v>7636</v>
      </c>
      <c r="E21" s="250">
        <v>10292</v>
      </c>
      <c r="F21" s="250">
        <v>7926</v>
      </c>
      <c r="G21" s="250">
        <v>5576</v>
      </c>
      <c r="H21" s="250">
        <v>2803</v>
      </c>
      <c r="I21" s="347">
        <v>2177</v>
      </c>
      <c r="K21" s="261"/>
      <c r="L21" s="361" t="s">
        <v>484</v>
      </c>
      <c r="M21" s="361" t="s">
        <v>485</v>
      </c>
      <c r="N21" s="361" t="s">
        <v>486</v>
      </c>
      <c r="O21" s="361" t="s">
        <v>484</v>
      </c>
      <c r="P21" s="361" t="s">
        <v>485</v>
      </c>
      <c r="Q21" s="361" t="s">
        <v>486</v>
      </c>
      <c r="R21" s="361" t="s">
        <v>484</v>
      </c>
      <c r="S21" s="361" t="s">
        <v>485</v>
      </c>
      <c r="T21" s="361" t="s">
        <v>486</v>
      </c>
      <c r="U21" s="361" t="s">
        <v>484</v>
      </c>
      <c r="V21" s="361" t="s">
        <v>485</v>
      </c>
      <c r="W21" s="361" t="s">
        <v>486</v>
      </c>
      <c r="X21" s="361" t="s">
        <v>484</v>
      </c>
      <c r="Y21" s="361" t="s">
        <v>485</v>
      </c>
      <c r="Z21" s="361" t="s">
        <v>486</v>
      </c>
      <c r="AA21" s="361" t="s">
        <v>484</v>
      </c>
      <c r="AB21" s="361" t="s">
        <v>485</v>
      </c>
      <c r="AC21" s="361" t="s">
        <v>486</v>
      </c>
      <c r="AF21" s="367" t="s">
        <v>687</v>
      </c>
      <c r="AG21" s="361" t="s">
        <v>688</v>
      </c>
      <c r="AH21" s="367" t="s">
        <v>687</v>
      </c>
      <c r="AI21" s="361" t="s">
        <v>688</v>
      </c>
      <c r="AJ21" s="367" t="s">
        <v>687</v>
      </c>
      <c r="AK21" s="361" t="s">
        <v>688</v>
      </c>
      <c r="AL21" s="367" t="s">
        <v>687</v>
      </c>
      <c r="AM21" s="361" t="s">
        <v>688</v>
      </c>
      <c r="AN21" s="367" t="s">
        <v>687</v>
      </c>
      <c r="AO21" s="361" t="s">
        <v>688</v>
      </c>
      <c r="AP21" s="367" t="s">
        <v>687</v>
      </c>
      <c r="AQ21" s="361" t="s">
        <v>688</v>
      </c>
      <c r="AU21" s="367" t="str">
        <f t="shared" si="2"/>
        <v>η Proceso</v>
      </c>
      <c r="AV21" s="361" t="str">
        <f t="shared" ref="AV21:AV27" si="5">AG28</f>
        <v>Iexc</v>
      </c>
      <c r="AW21" s="367" t="str">
        <f t="shared" si="3"/>
        <v>η Proceso</v>
      </c>
      <c r="AX21" s="361" t="str">
        <f t="shared" ref="AX21:AX27" si="6">AI28</f>
        <v>Iexc</v>
      </c>
      <c r="AY21" s="367" t="str">
        <f t="shared" si="4"/>
        <v>η Proceso</v>
      </c>
      <c r="AZ21" s="361" t="str">
        <f t="shared" ref="AZ21:AZ27" si="7">AK28</f>
        <v>Iexc</v>
      </c>
      <c r="BA21" s="373"/>
      <c r="BC21" s="361" t="s">
        <v>484</v>
      </c>
      <c r="BD21" s="361" t="s">
        <v>485</v>
      </c>
      <c r="BE21" s="361" t="s">
        <v>486</v>
      </c>
      <c r="BF21" s="361" t="s">
        <v>484</v>
      </c>
      <c r="BG21" s="361" t="s">
        <v>485</v>
      </c>
      <c r="BH21" s="361" t="s">
        <v>486</v>
      </c>
    </row>
    <row r="22" spans="1:60" ht="19.5" customHeight="1" x14ac:dyDescent="0.25">
      <c r="A22" s="416"/>
      <c r="B22" s="346" t="s">
        <v>335</v>
      </c>
      <c r="C22" s="250" t="s">
        <v>314</v>
      </c>
      <c r="D22" s="250">
        <v>6.38</v>
      </c>
      <c r="E22" s="250">
        <v>7.24</v>
      </c>
      <c r="F22" s="250">
        <v>6.78</v>
      </c>
      <c r="G22" s="250">
        <v>4.5</v>
      </c>
      <c r="H22" s="250">
        <v>6.74</v>
      </c>
      <c r="I22" s="347">
        <v>4.04</v>
      </c>
      <c r="K22" s="360" t="s">
        <v>487</v>
      </c>
      <c r="L22" s="363">
        <f>+Eficiencia!N23*Eficiencia!O1</f>
        <v>772.50000000000011</v>
      </c>
      <c r="M22" s="362">
        <f>+Scenarios1!C37</f>
        <v>1620.4805835956622</v>
      </c>
      <c r="N22" s="362">
        <f>+Scenarios2!C50</f>
        <v>1309.5976973184002</v>
      </c>
      <c r="O22" s="363">
        <f>+Eficiencia!P23*Eficiencia!Q1</f>
        <v>657.59999999999991</v>
      </c>
      <c r="P22" s="362">
        <f>+Scenarios1!D37</f>
        <v>2279.77902295479</v>
      </c>
      <c r="Q22" s="362">
        <f>+Scenarios2!D50</f>
        <v>1904.2283836799998</v>
      </c>
      <c r="R22" s="363">
        <f>+Eficiencia!R23*Eficiencia!S1</f>
        <v>648.6</v>
      </c>
      <c r="S22" s="362">
        <f>+Scenarios1!E37</f>
        <v>1462.1206459552614</v>
      </c>
      <c r="T22" s="362">
        <f>+Scenarios2!E50</f>
        <v>1394.0781819551999</v>
      </c>
      <c r="U22" s="363">
        <f>+Eficiencia!T23*Eficiencia!U1</f>
        <v>681.59999999999991</v>
      </c>
      <c r="V22" s="362">
        <f>+Scenarios1!F37</f>
        <v>1590.2666444577685</v>
      </c>
      <c r="W22" s="362">
        <f>+Scenarios2!F50</f>
        <v>1196.2919038694399</v>
      </c>
      <c r="X22" s="363">
        <f>+Eficiencia!V23*Eficiencia!W1</f>
        <v>906.24</v>
      </c>
      <c r="Y22" s="362">
        <f>+Scenarios1!G37</f>
        <v>1485.6476455355596</v>
      </c>
      <c r="Z22" s="362">
        <f>+Scenarios2!G50</f>
        <v>1482.4998762739201</v>
      </c>
      <c r="AA22" s="363">
        <f>+Eficiencia!X23*Eficiencia!Y1</f>
        <v>364</v>
      </c>
      <c r="AB22" s="362">
        <f>+Scenarios1!H37</f>
        <v>1301.3499225680071</v>
      </c>
      <c r="AC22" s="362">
        <f>+Scenarios2!H50</f>
        <v>914.0102721792</v>
      </c>
      <c r="AE22" s="361" t="s">
        <v>484</v>
      </c>
      <c r="AF22" s="365">
        <f>+L30</f>
        <v>0.21366300793112306</v>
      </c>
      <c r="AG22" s="370">
        <f>+L29</f>
        <v>0</v>
      </c>
      <c r="AH22" s="369">
        <f>+O30</f>
        <v>0.155220869242748</v>
      </c>
      <c r="AI22" s="295">
        <f>+O29</f>
        <v>0</v>
      </c>
      <c r="AJ22" s="369">
        <f>+R30</f>
        <v>0.17340123260473184</v>
      </c>
      <c r="AK22" s="295">
        <f>+R29</f>
        <v>0</v>
      </c>
      <c r="AL22" s="369">
        <f>+U30</f>
        <v>0.16190251976165301</v>
      </c>
      <c r="AM22" s="295">
        <f>+U29</f>
        <v>0</v>
      </c>
      <c r="AN22" s="369">
        <f>+X30</f>
        <v>0.1479105322155024</v>
      </c>
      <c r="AO22" s="295">
        <f>+X29</f>
        <v>0</v>
      </c>
      <c r="AP22" s="369">
        <f>+AA30</f>
        <v>0.19027946427479761</v>
      </c>
      <c r="AQ22" s="295">
        <f>+AA29</f>
        <v>0</v>
      </c>
      <c r="AT22" s="216" t="str">
        <f t="shared" ref="AT22:AT27" si="8">AE29</f>
        <v>Planta A</v>
      </c>
      <c r="AU22" s="365">
        <f t="shared" si="2"/>
        <v>0.21366300793112306</v>
      </c>
      <c r="AV22" s="370">
        <f t="shared" si="5"/>
        <v>0</v>
      </c>
      <c r="AW22" s="372">
        <f t="shared" si="3"/>
        <v>0.69851549633382326</v>
      </c>
      <c r="AX22" s="127">
        <f t="shared" si="6"/>
        <v>222.08731797224402</v>
      </c>
      <c r="AY22" s="329">
        <f t="shared" si="4"/>
        <v>0.47504560658976352</v>
      </c>
      <c r="AZ22" s="306">
        <f t="shared" si="7"/>
        <v>126.13544873331308</v>
      </c>
      <c r="BA22" s="306"/>
      <c r="BB22" s="216" t="str">
        <f t="shared" ref="BB22:BB27" si="9">AT22</f>
        <v>Planta A</v>
      </c>
      <c r="BC22" s="309">
        <f t="shared" ref="BC22:BC27" si="10">AU22</f>
        <v>0.21366300793112306</v>
      </c>
      <c r="BD22" s="309">
        <f t="shared" ref="BD22:BD27" si="11">AW22</f>
        <v>0.69851549633382326</v>
      </c>
      <c r="BE22" s="253">
        <f t="shared" ref="BE22:BE27" si="12">AY22</f>
        <v>0.47504560658976352</v>
      </c>
      <c r="BF22" s="233">
        <f>+AV22</f>
        <v>0</v>
      </c>
      <c r="BG22" s="233">
        <f>+AX22</f>
        <v>222.08731797224402</v>
      </c>
      <c r="BH22" s="233">
        <f>+AZ22</f>
        <v>126.13544873331308</v>
      </c>
    </row>
    <row r="23" spans="1:60" ht="18.600000000000001" x14ac:dyDescent="0.4">
      <c r="A23" s="416"/>
      <c r="B23" s="346" t="s">
        <v>336</v>
      </c>
      <c r="C23" s="250" t="s">
        <v>337</v>
      </c>
      <c r="D23" s="348">
        <v>6370.9840151479584</v>
      </c>
      <c r="E23" s="348">
        <v>8060.2723516658816</v>
      </c>
      <c r="F23" s="348">
        <v>7036.2620647508256</v>
      </c>
      <c r="G23" s="348">
        <v>5292.1843508764987</v>
      </c>
      <c r="H23" s="348">
        <v>5152.7232170552597</v>
      </c>
      <c r="I23" s="349">
        <v>4060.2852006320518</v>
      </c>
      <c r="K23" s="360" t="s">
        <v>644</v>
      </c>
      <c r="L23" s="364">
        <f>+Eficiencia!O23</f>
        <v>11627.405684754522</v>
      </c>
      <c r="M23" s="362">
        <f>+Scenarios1!C15</f>
        <v>13979.41957364341</v>
      </c>
      <c r="N23" s="362">
        <f>+Scenarios2!C15</f>
        <v>15732.057073643411</v>
      </c>
      <c r="O23" s="364">
        <f>+Eficiencia!Q23</f>
        <v>14954.073643410853</v>
      </c>
      <c r="P23" s="362">
        <f>+Scenarios1!D15</f>
        <v>18422.12919896641</v>
      </c>
      <c r="Q23" s="362">
        <f>+Scenarios2!D15</f>
        <v>20585.87919896641</v>
      </c>
      <c r="R23" s="364">
        <f>+Eficiencia!S23</f>
        <v>12199.79877260982</v>
      </c>
      <c r="S23" s="362">
        <f>+Scenarios1!E15</f>
        <v>14830.29877260982</v>
      </c>
      <c r="T23" s="362">
        <f>+Scenarios2!E15</f>
        <v>16481.96127260982</v>
      </c>
      <c r="U23" s="364">
        <f>+Eficiencia!U23</f>
        <v>9180.352041343669</v>
      </c>
      <c r="V23" s="362">
        <f>+Scenarios1!F15</f>
        <v>11273.598708010335</v>
      </c>
      <c r="W23" s="362">
        <f>+Scenarios2!F15</f>
        <v>12346.818708010334</v>
      </c>
      <c r="X23" s="364">
        <f>+Eficiencia!W23</f>
        <v>10323.693669250646</v>
      </c>
      <c r="Y23" s="362">
        <f>+Scenarios1!G15</f>
        <v>12982.593669250648</v>
      </c>
      <c r="Z23" s="362">
        <f>+Scenarios2!G15</f>
        <v>14738.116169250647</v>
      </c>
      <c r="AA23" s="364">
        <f>+Eficiencia!Y23</f>
        <v>7436.5471576227401</v>
      </c>
      <c r="AB23" s="362">
        <f>+Scenarios1!H15</f>
        <v>9147.6582687338523</v>
      </c>
      <c r="AC23" s="362">
        <f>+Scenarios2!H15</f>
        <v>10174.237435400519</v>
      </c>
      <c r="AE23" s="361" t="s">
        <v>485</v>
      </c>
      <c r="AF23" s="365">
        <f>+M30</f>
        <v>0.69851549633382326</v>
      </c>
      <c r="AG23" s="370">
        <f>+M29</f>
        <v>222.08731797224402</v>
      </c>
      <c r="AH23" s="369">
        <f>+P30</f>
        <v>0.70013420632202894</v>
      </c>
      <c r="AI23" s="306">
        <f>+P29</f>
        <v>212.38140038305784</v>
      </c>
      <c r="AJ23" s="369">
        <f>+S30</f>
        <v>0.74714812007472309</v>
      </c>
      <c r="AK23" s="295">
        <f>+S29</f>
        <v>222.3918248196299</v>
      </c>
      <c r="AL23" s="369">
        <f>+V30</f>
        <v>0.74714812007472309</v>
      </c>
      <c r="AM23" s="306">
        <f>+V29</f>
        <v>217.54725604766804</v>
      </c>
      <c r="AN23" s="369">
        <f>+Y30</f>
        <v>0.66267241144962719</v>
      </c>
      <c r="AO23" s="306">
        <f>+Y29</f>
        <v>227.10537600054303</v>
      </c>
      <c r="AP23" s="369">
        <f>+AB30</f>
        <v>0.71914476751476697</v>
      </c>
      <c r="AQ23" s="306">
        <f>+AB29</f>
        <v>224.5656600358322</v>
      </c>
      <c r="AT23" s="216" t="str">
        <f t="shared" si="8"/>
        <v>Planta B</v>
      </c>
      <c r="AU23" s="365">
        <f t="shared" si="2"/>
        <v>0.155220869242748</v>
      </c>
      <c r="AV23" s="370">
        <f t="shared" si="5"/>
        <v>0</v>
      </c>
      <c r="AW23" s="372">
        <f t="shared" si="3"/>
        <v>0.70013420632202894</v>
      </c>
      <c r="AX23" s="127">
        <f t="shared" si="6"/>
        <v>212.38140038305784</v>
      </c>
      <c r="AY23" s="329">
        <f t="shared" si="4"/>
        <v>0.49933621508179926</v>
      </c>
      <c r="AZ23" s="306">
        <f t="shared" si="7"/>
        <v>125.78877627039863</v>
      </c>
      <c r="BA23" s="306"/>
      <c r="BB23" s="216" t="str">
        <f t="shared" si="9"/>
        <v>Planta B</v>
      </c>
      <c r="BC23" s="309">
        <f t="shared" si="10"/>
        <v>0.155220869242748</v>
      </c>
      <c r="BD23" s="309">
        <f t="shared" si="11"/>
        <v>0.70013420632202894</v>
      </c>
      <c r="BE23" s="253">
        <f t="shared" si="12"/>
        <v>0.49933621508179926</v>
      </c>
      <c r="BG23" s="233">
        <f t="shared" ref="BG23:BG27" si="13">+AX23</f>
        <v>212.38140038305784</v>
      </c>
      <c r="BH23" s="233">
        <f t="shared" ref="BH23:BH27" si="14">+AZ23</f>
        <v>125.78877627039863</v>
      </c>
    </row>
    <row r="24" spans="1:60" x14ac:dyDescent="0.25">
      <c r="A24" s="416"/>
      <c r="B24" s="346" t="s">
        <v>338</v>
      </c>
      <c r="C24" s="250" t="s">
        <v>314</v>
      </c>
      <c r="D24" s="351">
        <v>11.795250880195701</v>
      </c>
      <c r="E24" s="351">
        <v>11.117052372680034</v>
      </c>
      <c r="F24" s="351">
        <v>12.057998643803383</v>
      </c>
      <c r="G24" s="351">
        <v>10.316934075762946</v>
      </c>
      <c r="H24" s="351">
        <v>12.316739431953794</v>
      </c>
      <c r="I24" s="352">
        <v>12.128010232407577</v>
      </c>
      <c r="J24" s="294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E24" s="361" t="s">
        <v>486</v>
      </c>
      <c r="AF24" s="365">
        <f>+N30</f>
        <v>0.47504560658976352</v>
      </c>
      <c r="AG24" s="370">
        <f>+N29</f>
        <v>126.13544873331308</v>
      </c>
      <c r="AH24" s="369">
        <f>+Q30</f>
        <v>0.49933621508179926</v>
      </c>
      <c r="AI24" s="306">
        <f>+Q29</f>
        <v>125.78877627039863</v>
      </c>
      <c r="AJ24" s="369">
        <f>+T30</f>
        <v>0.37960011010143868</v>
      </c>
      <c r="AK24" s="306">
        <f>+T29</f>
        <v>133.8145538581953</v>
      </c>
      <c r="AL24" s="369">
        <f>+W30</f>
        <v>0.51030421259701986</v>
      </c>
      <c r="AM24" s="306">
        <f>+W29</f>
        <v>125.11269222677026</v>
      </c>
      <c r="AN24" s="369">
        <f>+Z30</f>
        <v>0.46997836962656886</v>
      </c>
      <c r="AO24" s="306">
        <f>+Z29</f>
        <v>138.80405377138871</v>
      </c>
      <c r="AP24" s="369">
        <f>+AC30</f>
        <v>0.48625570700064724</v>
      </c>
      <c r="AQ24" s="306">
        <f>+AC29</f>
        <v>124.89591809235603</v>
      </c>
      <c r="AT24" s="216" t="str">
        <f t="shared" si="8"/>
        <v>Planta C</v>
      </c>
      <c r="AU24" s="365">
        <f t="shared" si="2"/>
        <v>0.17340123260473184</v>
      </c>
      <c r="AV24" s="370">
        <f t="shared" si="5"/>
        <v>0</v>
      </c>
      <c r="AW24" s="372">
        <f t="shared" si="3"/>
        <v>0.54015755957627964</v>
      </c>
      <c r="AX24" s="127">
        <f t="shared" si="6"/>
        <v>222.3918248196299</v>
      </c>
      <c r="AY24" s="329">
        <f t="shared" si="4"/>
        <v>0.37960011010143868</v>
      </c>
      <c r="AZ24" s="306">
        <f t="shared" si="7"/>
        <v>133.8145538581953</v>
      </c>
      <c r="BA24" s="306"/>
      <c r="BB24" s="216" t="str">
        <f t="shared" si="9"/>
        <v>Planta C</v>
      </c>
      <c r="BC24" s="309">
        <f t="shared" si="10"/>
        <v>0.17340123260473184</v>
      </c>
      <c r="BD24" s="309">
        <f t="shared" si="11"/>
        <v>0.54015755957627964</v>
      </c>
      <c r="BE24" s="253">
        <f t="shared" si="12"/>
        <v>0.37960011010143868</v>
      </c>
      <c r="BG24" s="233">
        <f t="shared" si="13"/>
        <v>222.3918248196299</v>
      </c>
      <c r="BH24" s="233">
        <f t="shared" si="14"/>
        <v>133.8145538581953</v>
      </c>
    </row>
    <row r="25" spans="1:60" ht="18.600000000000001" x14ac:dyDescent="0.4">
      <c r="A25" s="416"/>
      <c r="B25" s="346" t="s">
        <v>339</v>
      </c>
      <c r="C25" s="250" t="s">
        <v>340</v>
      </c>
      <c r="D25" s="250">
        <f>0.139*D16</f>
        <v>4170</v>
      </c>
      <c r="E25" s="250">
        <f>0.12*E16</f>
        <v>4800</v>
      </c>
      <c r="F25" s="250">
        <f>0.1*F16</f>
        <v>3000</v>
      </c>
      <c r="G25" s="250">
        <f>0.12*G16</f>
        <v>2880</v>
      </c>
      <c r="H25" s="250">
        <f>0.1*H16</f>
        <v>2400</v>
      </c>
      <c r="I25" s="250">
        <f>0.09*I16</f>
        <v>1350</v>
      </c>
      <c r="K25" s="261"/>
      <c r="L25" s="361" t="s">
        <v>484</v>
      </c>
      <c r="M25" s="361" t="s">
        <v>485</v>
      </c>
      <c r="N25" s="361" t="s">
        <v>486</v>
      </c>
      <c r="O25" s="361" t="s">
        <v>484</v>
      </c>
      <c r="P25" s="361" t="s">
        <v>485</v>
      </c>
      <c r="Q25" s="361" t="s">
        <v>486</v>
      </c>
      <c r="R25" s="361" t="s">
        <v>484</v>
      </c>
      <c r="S25" s="361" t="s">
        <v>485</v>
      </c>
      <c r="T25" s="361" t="s">
        <v>486</v>
      </c>
      <c r="U25" s="361" t="s">
        <v>484</v>
      </c>
      <c r="V25" s="361" t="s">
        <v>485</v>
      </c>
      <c r="W25" s="361" t="s">
        <v>486</v>
      </c>
      <c r="X25" s="361" t="s">
        <v>484</v>
      </c>
      <c r="Y25" s="361" t="s">
        <v>485</v>
      </c>
      <c r="Z25" s="361" t="s">
        <v>486</v>
      </c>
      <c r="AA25" s="361" t="s">
        <v>484</v>
      </c>
      <c r="AB25" s="361" t="s">
        <v>485</v>
      </c>
      <c r="AC25" s="361" t="s">
        <v>486</v>
      </c>
      <c r="AT25" s="216" t="str">
        <f t="shared" si="8"/>
        <v>Planta D</v>
      </c>
      <c r="AU25" s="371">
        <f t="shared" si="2"/>
        <v>0.16190251976165301</v>
      </c>
      <c r="AV25" s="294">
        <f t="shared" si="5"/>
        <v>0</v>
      </c>
      <c r="AW25" s="371">
        <f t="shared" si="3"/>
        <v>0.74714812007472309</v>
      </c>
      <c r="AX25" s="127">
        <f t="shared" si="6"/>
        <v>217.54725604766804</v>
      </c>
      <c r="AY25" s="329">
        <f t="shared" si="4"/>
        <v>0.51030421259701986</v>
      </c>
      <c r="AZ25" s="368">
        <f t="shared" si="7"/>
        <v>125.11269222677026</v>
      </c>
      <c r="BA25" s="368"/>
      <c r="BB25" s="216" t="str">
        <f t="shared" si="9"/>
        <v>Planta D</v>
      </c>
      <c r="BC25" s="309">
        <f t="shared" si="10"/>
        <v>0.16190251976165301</v>
      </c>
      <c r="BD25" s="309">
        <f t="shared" si="11"/>
        <v>0.74714812007472309</v>
      </c>
      <c r="BE25" s="253">
        <f t="shared" si="12"/>
        <v>0.51030421259701986</v>
      </c>
      <c r="BG25" s="233">
        <f>+AX25</f>
        <v>217.54725604766804</v>
      </c>
      <c r="BH25" s="233">
        <f t="shared" si="14"/>
        <v>125.11269222677026</v>
      </c>
    </row>
    <row r="26" spans="1:60" ht="15.6" x14ac:dyDescent="0.25">
      <c r="A26" s="345"/>
      <c r="B26" s="346"/>
      <c r="C26" s="250"/>
      <c r="D26" s="250"/>
      <c r="E26" s="348"/>
      <c r="F26" s="348"/>
      <c r="G26" s="348"/>
      <c r="H26" s="348"/>
      <c r="I26" s="349"/>
      <c r="K26" s="360" t="s">
        <v>708</v>
      </c>
      <c r="L26" s="362">
        <v>850</v>
      </c>
      <c r="M26" s="362">
        <f>+Scenarios1!C36</f>
        <v>5199.8497753273205</v>
      </c>
      <c r="N26" s="362">
        <f>+Scenarios2!C31</f>
        <v>728.33550158979301</v>
      </c>
      <c r="O26" s="363">
        <v>0</v>
      </c>
      <c r="P26" s="362">
        <f>+Scenarios1!D36</f>
        <v>5922.8578098823127</v>
      </c>
      <c r="Q26" s="362">
        <f>+Scenarios2!D31</f>
        <v>588.35148889594552</v>
      </c>
      <c r="R26" s="363">
        <v>0</v>
      </c>
      <c r="S26" s="362">
        <f>+Scenarios1!E36</f>
        <v>4866.7782946688967</v>
      </c>
      <c r="T26" s="362">
        <f>+Scenarios1!F41</f>
        <v>612.22391999999991</v>
      </c>
      <c r="U26" s="363">
        <v>0</v>
      </c>
      <c r="V26" s="362">
        <f>+Scenarios1!F36</f>
        <v>3273.7723004080331</v>
      </c>
      <c r="W26" s="362">
        <f>+Scenarios2!F31</f>
        <v>211.35683774712658</v>
      </c>
      <c r="X26" s="363">
        <v>0</v>
      </c>
      <c r="Y26" s="362">
        <f>+Scenarios1!G36</f>
        <v>4892.6597644962912</v>
      </c>
      <c r="Z26" s="362">
        <f>+Scenarios2!G31</f>
        <v>704.95523516918115</v>
      </c>
      <c r="AA26" s="363">
        <v>0</v>
      </c>
      <c r="AB26" s="362">
        <f>+Scenarios1!H36</f>
        <v>3242.693977676644</v>
      </c>
      <c r="AC26" s="362">
        <f>+Scenarios2!H31</f>
        <v>365.22772676232012</v>
      </c>
      <c r="AT26" s="216" t="str">
        <f t="shared" si="8"/>
        <v>Planta E</v>
      </c>
      <c r="AU26" s="371">
        <f t="shared" si="2"/>
        <v>0.14933745323275591</v>
      </c>
      <c r="AV26" s="294">
        <f t="shared" si="5"/>
        <v>0</v>
      </c>
      <c r="AW26" s="371">
        <f t="shared" si="3"/>
        <v>0.624543572344195</v>
      </c>
      <c r="AX26" s="127">
        <f t="shared" si="6"/>
        <v>183.32974927608339</v>
      </c>
      <c r="AY26" s="329">
        <f t="shared" si="4"/>
        <v>0.44024192614853086</v>
      </c>
      <c r="AZ26" s="368">
        <f t="shared" si="7"/>
        <v>109.98943271333528</v>
      </c>
      <c r="BA26" s="368"/>
      <c r="BB26" s="216" t="str">
        <f t="shared" si="9"/>
        <v>Planta E</v>
      </c>
      <c r="BC26" s="309">
        <f t="shared" si="10"/>
        <v>0.14933745323275591</v>
      </c>
      <c r="BD26" s="309">
        <f t="shared" si="11"/>
        <v>0.624543572344195</v>
      </c>
      <c r="BE26" s="253">
        <f t="shared" si="12"/>
        <v>0.44024192614853086</v>
      </c>
      <c r="BG26" s="233">
        <f t="shared" si="13"/>
        <v>183.32974927608339</v>
      </c>
      <c r="BH26" s="233">
        <f t="shared" si="14"/>
        <v>109.98943271333528</v>
      </c>
    </row>
    <row r="27" spans="1:60" ht="18.600000000000001" x14ac:dyDescent="0.4">
      <c r="A27" s="416"/>
      <c r="B27" s="346" t="s">
        <v>341</v>
      </c>
      <c r="C27" s="250" t="s">
        <v>340</v>
      </c>
      <c r="D27" s="249"/>
      <c r="E27" s="249" t="s">
        <v>14</v>
      </c>
      <c r="G27" s="249" t="s">
        <v>14</v>
      </c>
      <c r="H27" s="216" t="s">
        <v>14</v>
      </c>
      <c r="K27" s="360" t="s">
        <v>483</v>
      </c>
      <c r="L27" s="261">
        <v>0</v>
      </c>
      <c r="M27" s="362">
        <f>+Scenarios1!C45</f>
        <v>1462.76976384</v>
      </c>
      <c r="N27" s="362">
        <f>+Scenarios2!C49</f>
        <v>3055.7279604095997</v>
      </c>
      <c r="O27" s="364">
        <v>0</v>
      </c>
      <c r="P27" s="362">
        <f>+Scenarios1!D44</f>
        <v>3215.4977567999999</v>
      </c>
      <c r="Q27" s="362">
        <f>+Scenarios2!D49</f>
        <v>4443.1995619199997</v>
      </c>
      <c r="R27" s="364">
        <v>0</v>
      </c>
      <c r="S27" s="362">
        <f>+Scenarios1!E45</f>
        <v>1804.9764499200001</v>
      </c>
      <c r="T27" s="362">
        <f>+Scenarios2!E49</f>
        <v>3252.8490912287994</v>
      </c>
      <c r="U27" s="364">
        <v>600</v>
      </c>
      <c r="V27" s="362">
        <f>+Scenarios1!F44</f>
        <v>2434.2023059199996</v>
      </c>
      <c r="W27" s="362">
        <f>+Scenarios2!F49</f>
        <v>2791.3477756953598</v>
      </c>
      <c r="X27" s="364">
        <v>0</v>
      </c>
      <c r="Y27" s="362">
        <f>+Scenarios1!G44</f>
        <v>2400.6268943999999</v>
      </c>
      <c r="Z27" s="362">
        <f>+Scenarios2!G49</f>
        <v>3459.1663779724799</v>
      </c>
      <c r="AA27" s="364">
        <v>0</v>
      </c>
      <c r="AB27" s="362">
        <f>+Scenarios1!H45</f>
        <v>1248.61922304</v>
      </c>
      <c r="AC27" s="362">
        <f>+Scenarios2!H49</f>
        <v>2132.6906350848003</v>
      </c>
      <c r="AF27" s="415" t="str">
        <f>+AE22</f>
        <v>LB</v>
      </c>
      <c r="AG27" s="415"/>
      <c r="AH27" s="415" t="str">
        <f>+AE23</f>
        <v>ERI - 1</v>
      </c>
      <c r="AI27" s="415"/>
      <c r="AJ27" s="415" t="str">
        <f>+AE24</f>
        <v>ERI - 2</v>
      </c>
      <c r="AK27" s="415"/>
      <c r="AM27" s="415" t="s">
        <v>481</v>
      </c>
      <c r="AN27" s="415"/>
      <c r="AO27" s="415"/>
      <c r="AT27" s="216" t="str">
        <f t="shared" si="8"/>
        <v>Planta F</v>
      </c>
      <c r="AU27" s="371">
        <f t="shared" si="2"/>
        <v>0.19027946427479761</v>
      </c>
      <c r="AV27" s="294">
        <f t="shared" si="5"/>
        <v>0</v>
      </c>
      <c r="AW27" s="371">
        <f t="shared" si="3"/>
        <v>0.71914476751476697</v>
      </c>
      <c r="AX27" s="127">
        <f t="shared" si="6"/>
        <v>224.5656600358322</v>
      </c>
      <c r="AY27" s="329">
        <f t="shared" si="4"/>
        <v>0.48625570700064724</v>
      </c>
      <c r="AZ27" s="368">
        <f t="shared" si="7"/>
        <v>124.89591809235603</v>
      </c>
      <c r="BA27" s="368"/>
      <c r="BB27" s="216" t="str">
        <f t="shared" si="9"/>
        <v>Planta F</v>
      </c>
      <c r="BC27" s="309">
        <f t="shared" si="10"/>
        <v>0.19027946427479761</v>
      </c>
      <c r="BD27" s="309">
        <f t="shared" si="11"/>
        <v>0.71914476751476697</v>
      </c>
      <c r="BE27" s="253">
        <f t="shared" si="12"/>
        <v>0.48625570700064724</v>
      </c>
      <c r="BG27" s="233">
        <f t="shared" si="13"/>
        <v>224.5656600358322</v>
      </c>
      <c r="BH27" s="233">
        <f t="shared" si="14"/>
        <v>124.89591809235603</v>
      </c>
    </row>
    <row r="28" spans="1:60" x14ac:dyDescent="0.25">
      <c r="A28" s="416"/>
      <c r="B28" s="346"/>
      <c r="C28" s="250"/>
      <c r="D28" s="249">
        <v>65</v>
      </c>
      <c r="E28" s="249">
        <v>65</v>
      </c>
      <c r="F28" s="252"/>
      <c r="G28" s="249">
        <v>65</v>
      </c>
      <c r="H28" s="249">
        <v>65</v>
      </c>
      <c r="I28" s="347"/>
      <c r="K28" s="261"/>
      <c r="L28" s="361" t="s">
        <v>484</v>
      </c>
      <c r="M28" s="361" t="s">
        <v>485</v>
      </c>
      <c r="N28" s="361" t="s">
        <v>486</v>
      </c>
      <c r="O28" s="361" t="s">
        <v>484</v>
      </c>
      <c r="P28" s="361" t="s">
        <v>485</v>
      </c>
      <c r="Q28" s="361" t="s">
        <v>486</v>
      </c>
      <c r="R28" s="361" t="s">
        <v>484</v>
      </c>
      <c r="S28" s="361" t="s">
        <v>485</v>
      </c>
      <c r="T28" s="361" t="s">
        <v>486</v>
      </c>
      <c r="U28" s="361" t="s">
        <v>484</v>
      </c>
      <c r="V28" s="361" t="s">
        <v>485</v>
      </c>
      <c r="W28" s="361" t="s">
        <v>486</v>
      </c>
      <c r="X28" s="361" t="s">
        <v>484</v>
      </c>
      <c r="Y28" s="361" t="s">
        <v>485</v>
      </c>
      <c r="Z28" s="361" t="s">
        <v>486</v>
      </c>
      <c r="AA28" s="361" t="s">
        <v>484</v>
      </c>
      <c r="AB28" s="361" t="s">
        <v>485</v>
      </c>
      <c r="AC28" s="361" t="s">
        <v>486</v>
      </c>
      <c r="AF28" s="367" t="s">
        <v>687</v>
      </c>
      <c r="AG28" s="361" t="s">
        <v>688</v>
      </c>
      <c r="AH28" s="367" t="s">
        <v>687</v>
      </c>
      <c r="AI28" s="361" t="s">
        <v>688</v>
      </c>
      <c r="AJ28" s="367" t="s">
        <v>687</v>
      </c>
      <c r="AK28" s="361" t="s">
        <v>688</v>
      </c>
      <c r="AM28" s="361" t="s">
        <v>484</v>
      </c>
      <c r="AN28" s="361" t="s">
        <v>485</v>
      </c>
      <c r="AO28" s="361" t="s">
        <v>486</v>
      </c>
    </row>
    <row r="29" spans="1:60" ht="15.6" x14ac:dyDescent="0.25">
      <c r="A29" s="416"/>
      <c r="B29" s="346" t="s">
        <v>342</v>
      </c>
      <c r="C29" s="250" t="s">
        <v>314</v>
      </c>
      <c r="D29" s="250">
        <v>51</v>
      </c>
      <c r="E29" s="250">
        <v>52</v>
      </c>
      <c r="F29" s="250">
        <v>62</v>
      </c>
      <c r="G29" s="250">
        <v>52</v>
      </c>
      <c r="H29" s="250">
        <v>50</v>
      </c>
      <c r="I29" s="347">
        <v>62.8</v>
      </c>
      <c r="K29" s="360" t="s">
        <v>685</v>
      </c>
      <c r="L29" s="362"/>
      <c r="M29" s="362">
        <f>+Scenarios1!C48</f>
        <v>222.08731797224402</v>
      </c>
      <c r="N29" s="362">
        <f>+Scenarios2!C52</f>
        <v>126.13544873331308</v>
      </c>
      <c r="O29" s="363"/>
      <c r="P29" s="362">
        <f>+Scenarios1!D48</f>
        <v>212.38140038305784</v>
      </c>
      <c r="Q29" s="362">
        <f>+Scenarios2!D52</f>
        <v>125.78877627039863</v>
      </c>
      <c r="R29" s="363"/>
      <c r="S29" s="362">
        <f>+Scenarios1!E48</f>
        <v>222.3918248196299</v>
      </c>
      <c r="T29" s="362">
        <f>+Scenarios2!E52</f>
        <v>133.8145538581953</v>
      </c>
      <c r="U29" s="363"/>
      <c r="V29" s="362">
        <f>+Scenarios1!F48</f>
        <v>217.54725604766804</v>
      </c>
      <c r="W29" s="362">
        <f>+Scenarios2!F52</f>
        <v>125.11269222677026</v>
      </c>
      <c r="X29" s="363"/>
      <c r="Y29" s="362">
        <f>+Scenarios1!G48</f>
        <v>227.10537600054303</v>
      </c>
      <c r="Z29" s="362">
        <f>+Scenarios2!G52</f>
        <v>138.80405377138871</v>
      </c>
      <c r="AA29" s="363"/>
      <c r="AB29" s="362">
        <f>+Scenarios1!H48</f>
        <v>224.5656600358322</v>
      </c>
      <c r="AC29" s="362">
        <f>+Scenarios2!H52</f>
        <v>124.89591809235603</v>
      </c>
      <c r="AE29" s="216" t="str">
        <f>+AF20</f>
        <v>Planta A</v>
      </c>
      <c r="AF29" s="365">
        <v>0.21366300793112306</v>
      </c>
      <c r="AG29" s="370">
        <f>+L36</f>
        <v>0</v>
      </c>
      <c r="AH29" s="372">
        <v>0.69851549633382326</v>
      </c>
      <c r="AI29" s="127">
        <v>222.08731797224402</v>
      </c>
      <c r="AJ29" s="329">
        <v>0.47504560658976352</v>
      </c>
      <c r="AK29" s="306">
        <v>126.13544873331308</v>
      </c>
      <c r="AM29" s="363">
        <f>+Eficiencia!AJ30*Eficiencia!AK8</f>
        <v>0</v>
      </c>
      <c r="AN29" s="362">
        <f>+Scenarios1!T44</f>
        <v>0</v>
      </c>
      <c r="AO29" s="362">
        <f>+Scenarios2!T64</f>
        <v>0</v>
      </c>
    </row>
    <row r="30" spans="1:60" ht="15.6" x14ac:dyDescent="0.25">
      <c r="A30" s="416"/>
      <c r="B30" s="346" t="s">
        <v>413</v>
      </c>
      <c r="C30" s="250"/>
      <c r="D30" s="250">
        <f>+(D28-D29)*D31</f>
        <v>340.2</v>
      </c>
      <c r="E30" s="250">
        <f>+(E28-E29)*E31</f>
        <v>292.5</v>
      </c>
      <c r="F30" s="250"/>
      <c r="G30" s="250">
        <f>+(G28-G29)*G31</f>
        <v>267.8</v>
      </c>
      <c r="H30" s="250">
        <f>+(H28-H29)*H31</f>
        <v>319.5</v>
      </c>
      <c r="I30" s="347"/>
      <c r="K30" s="360" t="s">
        <v>686</v>
      </c>
      <c r="L30" s="365">
        <f>+Eficiencia!C199</f>
        <v>0.21366300793112306</v>
      </c>
      <c r="M30" s="365">
        <f>+Scenarios1!C59</f>
        <v>0.69851549633382326</v>
      </c>
      <c r="N30" s="365">
        <f>+Scenarios2!C71</f>
        <v>0.47504560658976352</v>
      </c>
      <c r="O30" s="366">
        <f>+Eficiencia!D199</f>
        <v>0.155220869242748</v>
      </c>
      <c r="P30" s="365">
        <f>+Scenarios1!D59</f>
        <v>0.70013420632202894</v>
      </c>
      <c r="Q30" s="365">
        <f>+Scenarios2!D71</f>
        <v>0.49933621508179926</v>
      </c>
      <c r="R30" s="366">
        <f>+Eficiencia!E199</f>
        <v>0.17340123260473184</v>
      </c>
      <c r="S30" s="365">
        <f>+Scenarios1!F59</f>
        <v>0.74714812007472309</v>
      </c>
      <c r="T30" s="365">
        <f>+Scenarios2!E71</f>
        <v>0.37960011010143868</v>
      </c>
      <c r="U30" s="366">
        <f>+Eficiencia!F199</f>
        <v>0.16190251976165301</v>
      </c>
      <c r="V30" s="365">
        <f>+Scenarios1!F59</f>
        <v>0.74714812007472309</v>
      </c>
      <c r="W30" s="365">
        <f>+Scenarios2!F71</f>
        <v>0.51030421259701986</v>
      </c>
      <c r="X30" s="366">
        <f>+Eficiencia!G199</f>
        <v>0.1479105322155024</v>
      </c>
      <c r="Y30" s="365">
        <f>+Scenarios1!G59</f>
        <v>0.66267241144962719</v>
      </c>
      <c r="Z30" s="365">
        <f>+Scenarios2!G71</f>
        <v>0.46997836962656886</v>
      </c>
      <c r="AA30" s="366">
        <f>+Eficiencia!H199</f>
        <v>0.19027946427479761</v>
      </c>
      <c r="AB30" s="365">
        <f>+Scenarios1!H59</f>
        <v>0.71914476751476697</v>
      </c>
      <c r="AC30" s="365">
        <f>+Scenarios2!H71</f>
        <v>0.48625570700064724</v>
      </c>
      <c r="AE30" s="216" t="str">
        <f>+AH20</f>
        <v>Planta B</v>
      </c>
      <c r="AF30" s="365">
        <v>0.155220869242748</v>
      </c>
      <c r="AG30" s="370">
        <f>+M36</f>
        <v>0</v>
      </c>
      <c r="AH30" s="372">
        <v>0.70013420632202894</v>
      </c>
      <c r="AI30" s="127">
        <v>212.38140038305784</v>
      </c>
      <c r="AJ30" s="329">
        <v>0.49933621508179926</v>
      </c>
      <c r="AK30" s="306">
        <v>125.78877627039863</v>
      </c>
      <c r="AM30" s="364">
        <f>+Eficiencia!AK30</f>
        <v>0</v>
      </c>
      <c r="AN30" s="362">
        <f>+Scenarios1!T22</f>
        <v>0</v>
      </c>
      <c r="AO30" s="362">
        <f>+Scenarios2!T22</f>
        <v>0</v>
      </c>
    </row>
    <row r="31" spans="1:60" x14ac:dyDescent="0.25">
      <c r="A31" s="416"/>
      <c r="B31" s="346" t="s">
        <v>412</v>
      </c>
      <c r="C31" s="250"/>
      <c r="D31" s="252">
        <v>24.3</v>
      </c>
      <c r="E31" s="252">
        <v>22.5</v>
      </c>
      <c r="F31" s="252">
        <v>22.9</v>
      </c>
      <c r="G31" s="252">
        <v>20.6</v>
      </c>
      <c r="H31" s="250">
        <v>21.3</v>
      </c>
      <c r="I31" s="347">
        <v>21.35</v>
      </c>
      <c r="AE31" s="216" t="str">
        <f>+AJ20</f>
        <v>Planta C</v>
      </c>
      <c r="AF31" s="365">
        <v>0.17340123260473184</v>
      </c>
      <c r="AG31" s="370">
        <f>+N36</f>
        <v>0</v>
      </c>
      <c r="AH31" s="372">
        <v>0.54015755957627964</v>
      </c>
      <c r="AI31" s="127">
        <v>222.3918248196299</v>
      </c>
      <c r="AJ31" s="329">
        <v>0.37960011010143868</v>
      </c>
      <c r="AK31" s="306">
        <v>133.8145538581953</v>
      </c>
      <c r="AM31" s="261"/>
      <c r="AN31" s="261"/>
      <c r="AO31" s="261"/>
    </row>
    <row r="32" spans="1:60" ht="18.600000000000001" x14ac:dyDescent="0.4">
      <c r="A32" s="416"/>
      <c r="B32" s="346" t="s">
        <v>343</v>
      </c>
      <c r="C32" s="250" t="s">
        <v>344</v>
      </c>
      <c r="D32" s="351">
        <f t="shared" ref="D32:I32" si="15">100-D24-D31</f>
        <v>63.904749119804308</v>
      </c>
      <c r="E32" s="351">
        <f t="shared" si="15"/>
        <v>66.382947627319965</v>
      </c>
      <c r="F32" s="351">
        <f t="shared" si="15"/>
        <v>65.042001356196607</v>
      </c>
      <c r="G32" s="351">
        <f t="shared" si="15"/>
        <v>69.083065924237047</v>
      </c>
      <c r="H32" s="351">
        <f t="shared" si="15"/>
        <v>66.383260568046211</v>
      </c>
      <c r="I32" s="352">
        <f t="shared" si="15"/>
        <v>66.52198976759243</v>
      </c>
      <c r="AE32" s="216" t="str">
        <f>+AL20</f>
        <v>Planta D</v>
      </c>
      <c r="AF32" s="371">
        <v>0.16190251976165301</v>
      </c>
      <c r="AG32" s="294"/>
      <c r="AH32" s="371">
        <v>0.74714812007472309</v>
      </c>
      <c r="AI32" s="127">
        <v>217.54725604766804</v>
      </c>
      <c r="AJ32" s="329">
        <v>0.51030421259701986</v>
      </c>
      <c r="AK32" s="368">
        <v>125.11269222677026</v>
      </c>
      <c r="AM32" s="361" t="s">
        <v>484</v>
      </c>
      <c r="AN32" s="361" t="s">
        <v>485</v>
      </c>
      <c r="AO32" s="361" t="s">
        <v>486</v>
      </c>
    </row>
    <row r="33" spans="1:41" x14ac:dyDescent="0.25">
      <c r="A33" s="416"/>
      <c r="B33" s="346" t="s">
        <v>345</v>
      </c>
      <c r="C33" s="250" t="s">
        <v>314</v>
      </c>
      <c r="D33" s="351">
        <v>28.7</v>
      </c>
      <c r="E33" s="351"/>
      <c r="F33" s="351"/>
      <c r="G33" s="351"/>
      <c r="H33" s="351"/>
      <c r="I33" s="352"/>
      <c r="AE33" s="216" t="str">
        <f>+AN20</f>
        <v>Planta E</v>
      </c>
      <c r="AF33" s="371">
        <v>0.14933745323275591</v>
      </c>
      <c r="AG33" s="294"/>
      <c r="AH33" s="371">
        <v>0.624543572344195</v>
      </c>
      <c r="AI33" s="127">
        <v>183.32974927608339</v>
      </c>
      <c r="AJ33" s="329">
        <v>0.44024192614853086</v>
      </c>
      <c r="AK33" s="368">
        <v>109.98943271333528</v>
      </c>
      <c r="AM33" s="363">
        <v>0</v>
      </c>
      <c r="AN33" s="362">
        <f>+Scenarios1!T43</f>
        <v>0</v>
      </c>
      <c r="AO33" s="362">
        <f>+Scenarios2!T38</f>
        <v>0</v>
      </c>
    </row>
    <row r="34" spans="1:41" ht="18.600000000000001" x14ac:dyDescent="0.4">
      <c r="A34" s="416"/>
      <c r="B34" s="346" t="s">
        <v>346</v>
      </c>
      <c r="C34" s="250" t="s">
        <v>337</v>
      </c>
      <c r="D34" s="348">
        <v>2831.7986713246455</v>
      </c>
      <c r="E34" s="348">
        <v>3523.8512317735808</v>
      </c>
      <c r="F34" s="348">
        <v>2537.3419125732594</v>
      </c>
      <c r="G34" s="348">
        <v>2606.1653520284754</v>
      </c>
      <c r="H34" s="348">
        <v>2112.7346695676579</v>
      </c>
      <c r="I34" s="349">
        <v>1806.4282492403267</v>
      </c>
      <c r="J34" s="410" t="s">
        <v>480</v>
      </c>
      <c r="AE34" s="216" t="str">
        <f>+AP20</f>
        <v>Planta F</v>
      </c>
      <c r="AF34" s="371">
        <v>0.19027946427479761</v>
      </c>
      <c r="AG34" s="294"/>
      <c r="AH34" s="371">
        <v>0.71914476751476697</v>
      </c>
      <c r="AI34" s="127">
        <v>224.5656600358322</v>
      </c>
      <c r="AJ34" s="329">
        <v>0.48625570700064724</v>
      </c>
      <c r="AK34" s="368">
        <v>124.89591809235603</v>
      </c>
      <c r="AM34" s="364">
        <v>0</v>
      </c>
      <c r="AN34" s="362">
        <f>+Scenarios1!T53</f>
        <v>0</v>
      </c>
      <c r="AO34" s="362">
        <f>+Scenarios2!T63</f>
        <v>0</v>
      </c>
    </row>
    <row r="35" spans="1:41" ht="18.600000000000001" x14ac:dyDescent="0.4">
      <c r="A35" s="416"/>
      <c r="B35" s="346" t="s">
        <v>347</v>
      </c>
      <c r="C35" s="250" t="s">
        <v>348</v>
      </c>
      <c r="D35" s="348">
        <v>11865.671254270062</v>
      </c>
      <c r="E35" s="348">
        <v>15971.76377630125</v>
      </c>
      <c r="F35" s="348">
        <v>11799.14800481599</v>
      </c>
      <c r="G35" s="348">
        <v>9589.1138072953072</v>
      </c>
      <c r="H35" s="348">
        <v>9513.1669009551933</v>
      </c>
      <c r="I35" s="349">
        <v>7884.9661622752701</v>
      </c>
      <c r="J35" s="410"/>
      <c r="AM35" s="361" t="s">
        <v>484</v>
      </c>
      <c r="AN35" s="361" t="s">
        <v>485</v>
      </c>
      <c r="AO35" s="361" t="s">
        <v>486</v>
      </c>
    </row>
    <row r="36" spans="1:41" x14ac:dyDescent="0.25">
      <c r="A36" s="416"/>
      <c r="B36" s="346" t="s">
        <v>349</v>
      </c>
      <c r="C36" s="250" t="s">
        <v>314</v>
      </c>
      <c r="D36" s="348">
        <v>53.233418009227947</v>
      </c>
      <c r="E36" s="348">
        <v>53.676505276771742</v>
      </c>
      <c r="F36" s="348">
        <v>52.908520322840225</v>
      </c>
      <c r="G36" s="348">
        <v>50</v>
      </c>
      <c r="H36" s="348">
        <v>53.973729033290638</v>
      </c>
      <c r="I36" s="349">
        <v>53.000634953382885</v>
      </c>
      <c r="J36" s="410" t="s">
        <v>477</v>
      </c>
      <c r="AM36" s="363"/>
      <c r="AN36" s="362">
        <f>+Scenarios1!T56</f>
        <v>0</v>
      </c>
      <c r="AO36" s="362">
        <f>+Scenarios2!T66</f>
        <v>0</v>
      </c>
    </row>
    <row r="37" spans="1:41" x14ac:dyDescent="0.25">
      <c r="A37" s="416"/>
      <c r="B37" s="346" t="s">
        <v>350</v>
      </c>
      <c r="C37" s="250" t="s">
        <v>314</v>
      </c>
      <c r="D37" s="348">
        <v>13.62284810876756</v>
      </c>
      <c r="E37" s="348">
        <v>15.631688128148708</v>
      </c>
      <c r="F37" s="348">
        <v>17.036839640594657</v>
      </c>
      <c r="G37" s="348">
        <v>15</v>
      </c>
      <c r="H37" s="348">
        <v>16.665059163381589</v>
      </c>
      <c r="I37" s="349">
        <v>15.672139818861622</v>
      </c>
      <c r="J37" s="410"/>
      <c r="AM37" s="366">
        <f>+Eficiencia!T206</f>
        <v>0</v>
      </c>
      <c r="AN37" s="365">
        <f>+Scenarios1!T66</f>
        <v>0</v>
      </c>
      <c r="AO37" s="365">
        <f>+Scenarios2!T78</f>
        <v>0</v>
      </c>
    </row>
    <row r="38" spans="1:41" x14ac:dyDescent="0.25">
      <c r="A38" s="416"/>
      <c r="B38" s="346" t="s">
        <v>351</v>
      </c>
      <c r="C38" s="250" t="s">
        <v>314</v>
      </c>
      <c r="D38" s="348">
        <f>100-D36-D37</f>
        <v>33.143733882004497</v>
      </c>
      <c r="E38" s="348">
        <f t="shared" ref="E38:I38" si="16">100-E36-E37</f>
        <v>30.691806595079548</v>
      </c>
      <c r="F38" s="348">
        <f t="shared" si="16"/>
        <v>30.054640036565118</v>
      </c>
      <c r="G38" s="348">
        <f t="shared" si="16"/>
        <v>35</v>
      </c>
      <c r="H38" s="348">
        <f t="shared" si="16"/>
        <v>29.361211803327773</v>
      </c>
      <c r="I38" s="349">
        <f t="shared" si="16"/>
        <v>31.327225227755491</v>
      </c>
      <c r="J38" s="410" t="s">
        <v>479</v>
      </c>
    </row>
    <row r="39" spans="1:41" x14ac:dyDescent="0.25">
      <c r="A39" s="345"/>
      <c r="B39" s="346" t="s">
        <v>415</v>
      </c>
      <c r="C39" s="250" t="s">
        <v>416</v>
      </c>
      <c r="D39" s="348">
        <f>+(D41+D44)/D18*1000</f>
        <v>6835.720078089802</v>
      </c>
      <c r="E39" s="348">
        <f t="shared" ref="E39:I39" si="17">+(E41+E44)/E18*1000</f>
        <v>8644.4404700131417</v>
      </c>
      <c r="F39" s="348">
        <f t="shared" si="17"/>
        <v>6888.9342808394658</v>
      </c>
      <c r="G39" s="348">
        <f t="shared" si="17"/>
        <v>5262.5175840920629</v>
      </c>
      <c r="H39" s="348">
        <f t="shared" si="17"/>
        <v>4985.7114128017702</v>
      </c>
      <c r="I39" s="348">
        <f t="shared" si="17"/>
        <v>3771.9681509104089</v>
      </c>
      <c r="J39" s="410"/>
    </row>
    <row r="40" spans="1:41" x14ac:dyDescent="0.25">
      <c r="A40" s="345"/>
      <c r="B40" s="346" t="s">
        <v>418</v>
      </c>
      <c r="C40" s="250" t="s">
        <v>416</v>
      </c>
      <c r="D40" s="348">
        <f>(+D35*D36/100)/1.4</f>
        <v>4511.7874131331309</v>
      </c>
      <c r="E40" s="348">
        <f t="shared" ref="E40:I40" si="18">(+E35*E36/100)/1.4</f>
        <v>6123.631875842756</v>
      </c>
      <c r="F40" s="348">
        <f t="shared" si="18"/>
        <v>4459.1104428929038</v>
      </c>
      <c r="G40" s="348">
        <f t="shared" si="18"/>
        <v>3424.6835026054669</v>
      </c>
      <c r="H40" s="348">
        <f t="shared" si="18"/>
        <v>3667.5792325758916</v>
      </c>
      <c r="I40" s="348">
        <f t="shared" si="18"/>
        <v>2985.0586656180571</v>
      </c>
    </row>
    <row r="41" spans="1:41" ht="18" x14ac:dyDescent="0.25">
      <c r="A41" s="416"/>
      <c r="B41" s="346" t="s">
        <v>352</v>
      </c>
      <c r="C41" s="261" t="s">
        <v>353</v>
      </c>
      <c r="D41" s="348">
        <v>18072.526000000002</v>
      </c>
      <c r="E41" s="348">
        <v>25775.875</v>
      </c>
      <c r="F41" s="348">
        <v>24862.46</v>
      </c>
      <c r="G41" s="348">
        <v>15829.08</v>
      </c>
      <c r="H41" s="348">
        <v>9443.9298439403719</v>
      </c>
      <c r="I41" s="349">
        <v>4831.1606658773344</v>
      </c>
    </row>
    <row r="42" spans="1:41" x14ac:dyDescent="0.25">
      <c r="A42" s="416"/>
      <c r="B42" s="346"/>
      <c r="C42" s="261"/>
      <c r="D42" s="353">
        <f>+D41/D18/D16*1000</f>
        <v>0.11799999999999999</v>
      </c>
      <c r="E42" s="353">
        <f t="shared" ref="E42:I42" si="19">+E41/E18/E16*1000</f>
        <v>0.125</v>
      </c>
      <c r="F42" s="353">
        <f t="shared" si="19"/>
        <v>0.14000000000000001</v>
      </c>
      <c r="G42" s="353">
        <f t="shared" si="19"/>
        <v>0.11999999999999998</v>
      </c>
      <c r="H42" s="353">
        <f t="shared" si="19"/>
        <v>0.12502885910901543</v>
      </c>
      <c r="I42" s="353">
        <f t="shared" si="19"/>
        <v>0.12509478679123082</v>
      </c>
    </row>
    <row r="43" spans="1:41" x14ac:dyDescent="0.25">
      <c r="A43" s="416"/>
      <c r="B43" s="346" t="s">
        <v>354</v>
      </c>
      <c r="C43" s="250" t="s">
        <v>314</v>
      </c>
      <c r="D43" s="252">
        <v>35.18</v>
      </c>
      <c r="E43" s="252">
        <v>33.08</v>
      </c>
      <c r="F43" s="252">
        <v>38.409999999999997</v>
      </c>
      <c r="G43" s="252">
        <v>35.26</v>
      </c>
      <c r="H43" s="252">
        <v>36.6</v>
      </c>
      <c r="I43" s="354">
        <v>36.799999999999997</v>
      </c>
      <c r="J43" s="296"/>
    </row>
    <row r="44" spans="1:41" ht="18" x14ac:dyDescent="0.25">
      <c r="A44" s="416"/>
      <c r="B44" s="346" t="s">
        <v>355</v>
      </c>
      <c r="C44" s="261" t="s">
        <v>356</v>
      </c>
      <c r="D44" s="348">
        <f>+D61+D63</f>
        <v>16825.419999999998</v>
      </c>
      <c r="E44" s="348">
        <f t="shared" ref="E44:I44" si="20">+E61+E63</f>
        <v>18787.7284</v>
      </c>
      <c r="F44" s="348">
        <f t="shared" si="20"/>
        <v>15917.505000000001</v>
      </c>
      <c r="G44" s="348">
        <f t="shared" si="20"/>
        <v>13094.813</v>
      </c>
      <c r="H44" s="348">
        <f t="shared" si="20"/>
        <v>6247.3504000000003</v>
      </c>
      <c r="I44" s="349">
        <f t="shared" si="20"/>
        <v>4880.3999999999996</v>
      </c>
    </row>
    <row r="45" spans="1:41" x14ac:dyDescent="0.25">
      <c r="A45" s="416"/>
      <c r="B45" s="346" t="s">
        <v>357</v>
      </c>
      <c r="C45" s="250" t="s">
        <v>314</v>
      </c>
      <c r="D45" s="351">
        <v>11.930933877749785</v>
      </c>
      <c r="E45" s="351">
        <v>10.823047144641597</v>
      </c>
      <c r="F45" s="351">
        <v>13.360150688940227</v>
      </c>
      <c r="G45" s="351">
        <v>12.28652292001807</v>
      </c>
      <c r="H45" s="351">
        <v>14.325096460966284</v>
      </c>
      <c r="I45" s="352">
        <v>16.466389767972487</v>
      </c>
    </row>
    <row r="46" spans="1:41" x14ac:dyDescent="0.25">
      <c r="A46" s="416"/>
      <c r="B46" s="346" t="s">
        <v>359</v>
      </c>
      <c r="C46" s="250" t="s">
        <v>360</v>
      </c>
      <c r="D46" s="348">
        <v>80</v>
      </c>
      <c r="E46" s="348">
        <v>80</v>
      </c>
      <c r="F46" s="348">
        <v>80</v>
      </c>
      <c r="G46" s="348">
        <v>80</v>
      </c>
      <c r="H46" s="348">
        <v>80</v>
      </c>
      <c r="I46" s="349">
        <v>80</v>
      </c>
    </row>
    <row r="47" spans="1:41" x14ac:dyDescent="0.25">
      <c r="A47" s="416"/>
      <c r="B47" s="346" t="s">
        <v>361</v>
      </c>
      <c r="C47" s="250" t="s">
        <v>360</v>
      </c>
      <c r="D47" s="348">
        <v>70</v>
      </c>
      <c r="E47" s="348">
        <v>72</v>
      </c>
      <c r="F47" s="348">
        <v>70</v>
      </c>
      <c r="G47" s="348">
        <v>72</v>
      </c>
      <c r="H47" s="348">
        <v>71</v>
      </c>
      <c r="I47" s="349">
        <v>70</v>
      </c>
    </row>
    <row r="48" spans="1:41" x14ac:dyDescent="0.25">
      <c r="A48" s="416"/>
      <c r="B48" s="346" t="s">
        <v>419</v>
      </c>
      <c r="C48" s="250"/>
      <c r="D48" s="348">
        <v>10</v>
      </c>
      <c r="E48" s="348">
        <v>10</v>
      </c>
      <c r="F48" s="348">
        <v>10</v>
      </c>
      <c r="G48" s="348">
        <v>10</v>
      </c>
      <c r="H48" s="348">
        <v>10</v>
      </c>
      <c r="I48" s="348">
        <v>10</v>
      </c>
    </row>
    <row r="49" spans="1:9" ht="18.600000000000001" x14ac:dyDescent="0.4">
      <c r="A49" s="416"/>
      <c r="B49" s="346" t="s">
        <v>362</v>
      </c>
      <c r="C49" s="250" t="s">
        <v>363</v>
      </c>
      <c r="D49" s="348">
        <f>(+D35*D36/100)*100/(100-D48)</f>
        <v>7018.335975984869</v>
      </c>
      <c r="E49" s="348">
        <f t="shared" ref="E49:I49" si="21">(+E35*E36/100)*100/(100-E48)</f>
        <v>9525.6495846442867</v>
      </c>
      <c r="F49" s="348">
        <f t="shared" si="21"/>
        <v>6936.3940222778501</v>
      </c>
      <c r="G49" s="348">
        <f t="shared" si="21"/>
        <v>5327.2854484973932</v>
      </c>
      <c r="H49" s="348">
        <f t="shared" si="21"/>
        <v>5705.1232506736087</v>
      </c>
      <c r="I49" s="348">
        <f t="shared" si="21"/>
        <v>4643.4245909614219</v>
      </c>
    </row>
    <row r="50" spans="1:9" ht="18.600000000000001" x14ac:dyDescent="0.4">
      <c r="A50" s="416"/>
      <c r="B50" s="346" t="s">
        <v>364</v>
      </c>
      <c r="C50" s="250" t="s">
        <v>337</v>
      </c>
      <c r="D50" s="348">
        <v>700.7</v>
      </c>
      <c r="E50" s="348">
        <v>1122.0999999999999</v>
      </c>
      <c r="F50" s="348">
        <v>535.1</v>
      </c>
      <c r="G50" s="348">
        <v>682.7</v>
      </c>
      <c r="H50" s="348">
        <v>513.4</v>
      </c>
      <c r="I50" s="349">
        <v>407.9</v>
      </c>
    </row>
    <row r="51" spans="1:9" ht="18.600000000000001" x14ac:dyDescent="0.4">
      <c r="A51" s="416"/>
      <c r="B51" s="346" t="s">
        <v>365</v>
      </c>
      <c r="C51" s="250" t="s">
        <v>366</v>
      </c>
      <c r="D51" s="348">
        <f>+((D35*(D37+D38)/100)+D40+D34)-(D49-(D35*D36/100))</f>
        <v>12190.921362742969</v>
      </c>
      <c r="E51" s="348">
        <f t="shared" ref="E51:I51" si="22">+((E35*(E37+E38)/100)+E40+E34)-(E49-(E35*E36/100))</f>
        <v>16093.597299273299</v>
      </c>
      <c r="F51" s="348">
        <f t="shared" si="22"/>
        <v>11859.206338004304</v>
      </c>
      <c r="G51" s="348">
        <f t="shared" si="22"/>
        <v>10292.677213431856</v>
      </c>
      <c r="H51" s="348">
        <f t="shared" si="22"/>
        <v>9588.3575524251355</v>
      </c>
      <c r="I51" s="348">
        <f t="shared" si="22"/>
        <v>8033.0284861722321</v>
      </c>
    </row>
    <row r="52" spans="1:9" ht="18.600000000000001" x14ac:dyDescent="0.4">
      <c r="A52" s="416"/>
      <c r="B52" s="346" t="s">
        <v>367</v>
      </c>
      <c r="C52" s="250" t="s">
        <v>358</v>
      </c>
      <c r="D52" s="348">
        <v>3783.5700784299902</v>
      </c>
      <c r="E52" s="348">
        <v>5328.2062622902686</v>
      </c>
      <c r="F52" s="348">
        <v>3703.3231314721024</v>
      </c>
      <c r="G52" s="348">
        <v>3180.2440235888598</v>
      </c>
      <c r="H52" s="348">
        <v>3004.022837596066</v>
      </c>
      <c r="I52" s="349">
        <v>2605.2135355317437</v>
      </c>
    </row>
    <row r="53" spans="1:9" ht="18.600000000000001" x14ac:dyDescent="0.4">
      <c r="A53" s="416"/>
      <c r="B53" s="346" t="s">
        <v>368</v>
      </c>
      <c r="C53" s="250" t="s">
        <v>363</v>
      </c>
      <c r="D53" s="348">
        <v>736.28487277282488</v>
      </c>
      <c r="E53" s="348">
        <v>878.35762180823599</v>
      </c>
      <c r="F53" s="348">
        <v>653.99999999999989</v>
      </c>
      <c r="G53" s="348">
        <v>650.99999999999966</v>
      </c>
      <c r="H53" s="348">
        <v>534.79999999999961</v>
      </c>
      <c r="I53" s="349">
        <v>454.99999999999972</v>
      </c>
    </row>
    <row r="54" spans="1:9" ht="18.600000000000001" x14ac:dyDescent="0.4">
      <c r="A54" s="416"/>
      <c r="B54" s="346" t="s">
        <v>369</v>
      </c>
      <c r="C54" s="250" t="s">
        <v>370</v>
      </c>
      <c r="D54" s="348" t="s">
        <v>14</v>
      </c>
      <c r="E54" s="348">
        <f t="shared" ref="E54:I54" si="23">+E51+E52-E53</f>
        <v>20543.445939755333</v>
      </c>
      <c r="F54" s="348">
        <f t="shared" si="23"/>
        <v>14908.529469476405</v>
      </c>
      <c r="G54" s="348">
        <f t="shared" si="23"/>
        <v>12821.921237020717</v>
      </c>
      <c r="H54" s="348">
        <f t="shared" si="23"/>
        <v>12057.580390021201</v>
      </c>
      <c r="I54" s="349">
        <f t="shared" si="23"/>
        <v>10183.242021703976</v>
      </c>
    </row>
    <row r="55" spans="1:9" ht="18.600000000000001" x14ac:dyDescent="0.4">
      <c r="A55" s="416"/>
      <c r="B55" s="355" t="s">
        <v>371</v>
      </c>
      <c r="C55" s="250" t="s">
        <v>337</v>
      </c>
      <c r="D55" s="348">
        <v>1513.7</v>
      </c>
      <c r="E55" s="348">
        <v>1701.2</v>
      </c>
      <c r="F55" s="348">
        <v>1427.4</v>
      </c>
      <c r="G55" s="348">
        <v>1126.8</v>
      </c>
      <c r="H55" s="348">
        <v>1100.0999999999999</v>
      </c>
      <c r="I55" s="349">
        <v>931.97</v>
      </c>
    </row>
    <row r="56" spans="1:9" ht="15.6" x14ac:dyDescent="0.3">
      <c r="A56" s="416"/>
      <c r="B56" s="355" t="s">
        <v>372</v>
      </c>
      <c r="C56" s="250" t="s">
        <v>360</v>
      </c>
      <c r="D56" s="348">
        <v>50</v>
      </c>
      <c r="E56" s="348">
        <v>52</v>
      </c>
      <c r="F56" s="348">
        <v>55</v>
      </c>
      <c r="G56" s="348">
        <v>52</v>
      </c>
      <c r="H56" s="348">
        <v>50</v>
      </c>
      <c r="I56" s="349">
        <v>55</v>
      </c>
    </row>
    <row r="57" spans="1:9" ht="18.600000000000001" x14ac:dyDescent="0.4">
      <c r="A57" s="416"/>
      <c r="B57" s="355" t="s">
        <v>373</v>
      </c>
      <c r="C57" s="250" t="s">
        <v>337</v>
      </c>
      <c r="D57" s="348">
        <v>1614.5</v>
      </c>
      <c r="E57" s="348">
        <v>2156.9</v>
      </c>
      <c r="F57" s="348">
        <v>1555.5</v>
      </c>
      <c r="G57" s="348">
        <v>1220.4000000000001</v>
      </c>
      <c r="H57" s="348">
        <v>1285.8</v>
      </c>
      <c r="I57" s="349">
        <v>992.06</v>
      </c>
    </row>
    <row r="58" spans="1:9" ht="18.600000000000001" x14ac:dyDescent="0.4">
      <c r="A58" s="416"/>
      <c r="B58" s="355" t="s">
        <v>374</v>
      </c>
      <c r="C58" s="250" t="s">
        <v>375</v>
      </c>
      <c r="D58" s="351"/>
      <c r="E58" s="351"/>
      <c r="F58" s="351"/>
      <c r="G58" s="351"/>
      <c r="H58" s="351"/>
      <c r="I58" s="352"/>
    </row>
    <row r="59" spans="1:9" ht="15.6" x14ac:dyDescent="0.3">
      <c r="A59" s="416"/>
      <c r="B59" s="355" t="s">
        <v>376</v>
      </c>
      <c r="C59" s="250" t="s">
        <v>360</v>
      </c>
      <c r="D59" s="351">
        <v>50</v>
      </c>
      <c r="E59" s="351">
        <v>55</v>
      </c>
      <c r="F59" s="351">
        <v>60</v>
      </c>
      <c r="G59" s="351">
        <v>50</v>
      </c>
      <c r="H59" s="351">
        <v>55</v>
      </c>
      <c r="I59" s="352">
        <v>60</v>
      </c>
    </row>
    <row r="60" spans="1:9" ht="15.6" x14ac:dyDescent="0.3">
      <c r="A60" s="416"/>
      <c r="B60" s="355" t="s">
        <v>377</v>
      </c>
      <c r="C60" s="250" t="s">
        <v>360</v>
      </c>
      <c r="D60" s="250">
        <v>7.2</v>
      </c>
      <c r="E60" s="250">
        <v>7.5</v>
      </c>
      <c r="F60" s="351">
        <v>7.6</v>
      </c>
      <c r="G60" s="250">
        <v>7.1</v>
      </c>
      <c r="H60" s="250">
        <v>7.8</v>
      </c>
      <c r="I60" s="347">
        <v>7.4</v>
      </c>
    </row>
    <row r="61" spans="1:9" ht="18" x14ac:dyDescent="0.3">
      <c r="A61" s="416"/>
      <c r="B61" s="355" t="s">
        <v>309</v>
      </c>
      <c r="C61" s="261" t="s">
        <v>378</v>
      </c>
      <c r="D61" s="348">
        <v>9189.42</v>
      </c>
      <c r="E61" s="348">
        <v>8495.7284</v>
      </c>
      <c r="F61" s="348">
        <v>7991.5050000000001</v>
      </c>
      <c r="G61" s="348">
        <v>7518.8130000000001</v>
      </c>
      <c r="H61" s="348">
        <v>3444.3504000000003</v>
      </c>
      <c r="I61" s="349">
        <v>2703.4</v>
      </c>
    </row>
    <row r="62" spans="1:9" ht="15.6" x14ac:dyDescent="0.3">
      <c r="A62" s="416"/>
      <c r="B62" s="355"/>
      <c r="C62" s="261"/>
      <c r="D62" s="348">
        <f>+D61*1000/D18/D16*1000</f>
        <v>60</v>
      </c>
      <c r="E62" s="348">
        <v>55</v>
      </c>
      <c r="F62" s="348">
        <v>58</v>
      </c>
      <c r="G62" s="348">
        <f t="shared" ref="G62" si="24">+G61*1000/G18/G16*1000</f>
        <v>56.999999999999986</v>
      </c>
      <c r="H62" s="348">
        <v>55</v>
      </c>
      <c r="I62" s="348">
        <v>62</v>
      </c>
    </row>
    <row r="63" spans="1:9" ht="18" x14ac:dyDescent="0.3">
      <c r="A63" s="416"/>
      <c r="B63" s="355" t="s">
        <v>379</v>
      </c>
      <c r="C63" s="261" t="s">
        <v>380</v>
      </c>
      <c r="D63" s="250">
        <v>7636</v>
      </c>
      <c r="E63" s="250">
        <v>10292</v>
      </c>
      <c r="F63" s="250">
        <v>7926</v>
      </c>
      <c r="G63" s="250">
        <v>5576</v>
      </c>
      <c r="H63" s="250">
        <v>2803</v>
      </c>
      <c r="I63" s="347">
        <v>2177</v>
      </c>
    </row>
    <row r="64" spans="1:9" ht="18" x14ac:dyDescent="0.3">
      <c r="B64" s="355" t="s">
        <v>381</v>
      </c>
      <c r="C64" s="261" t="s">
        <v>382</v>
      </c>
      <c r="D64" s="348">
        <f>0.2*D17</f>
        <v>30631.4</v>
      </c>
      <c r="E64" s="348">
        <f>0.57*E17</f>
        <v>117537.98999999999</v>
      </c>
      <c r="F64" s="348">
        <f>0.36*F17</f>
        <v>63932.04</v>
      </c>
      <c r="G64" s="348">
        <f>0.28*G17</f>
        <v>36934.520000000004</v>
      </c>
      <c r="H64" s="348">
        <v>25855.288199999999</v>
      </c>
      <c r="I64" s="349">
        <v>15108.144</v>
      </c>
    </row>
    <row r="65" spans="2:9" ht="15.6" x14ac:dyDescent="0.3">
      <c r="B65" s="355" t="s">
        <v>383</v>
      </c>
      <c r="C65" s="261" t="s">
        <v>360</v>
      </c>
      <c r="D65" s="348">
        <v>90</v>
      </c>
      <c r="E65" s="348">
        <v>90</v>
      </c>
      <c r="F65" s="348">
        <v>92</v>
      </c>
      <c r="G65" s="348">
        <v>90</v>
      </c>
      <c r="H65" s="348">
        <v>90</v>
      </c>
      <c r="I65" s="349">
        <v>90</v>
      </c>
    </row>
    <row r="66" spans="2:9" ht="18" x14ac:dyDescent="0.3">
      <c r="B66" s="355" t="s">
        <v>384</v>
      </c>
      <c r="C66" s="261" t="s">
        <v>385</v>
      </c>
      <c r="D66" s="252">
        <v>5129.1000000000004</v>
      </c>
      <c r="E66" s="252">
        <v>7679.04</v>
      </c>
      <c r="F66" s="252">
        <v>5585.4</v>
      </c>
      <c r="G66" s="252">
        <v>4220.8999999999996</v>
      </c>
      <c r="H66" s="252">
        <v>2852.29</v>
      </c>
      <c r="I66" s="354">
        <v>1282.95</v>
      </c>
    </row>
    <row r="67" spans="2:9" ht="15.6" x14ac:dyDescent="0.3">
      <c r="B67" s="411" t="s">
        <v>53</v>
      </c>
      <c r="C67" s="412"/>
      <c r="D67" s="412"/>
      <c r="E67" s="412"/>
      <c r="F67" s="412"/>
      <c r="G67" s="412"/>
      <c r="H67" s="412"/>
      <c r="I67" s="413"/>
    </row>
    <row r="68" spans="2:9" ht="15.6" x14ac:dyDescent="0.3">
      <c r="B68" s="355" t="s">
        <v>386</v>
      </c>
      <c r="C68" s="261" t="s">
        <v>314</v>
      </c>
      <c r="D68" s="250">
        <v>49</v>
      </c>
      <c r="E68" s="250">
        <v>84</v>
      </c>
      <c r="F68" s="250">
        <v>70</v>
      </c>
      <c r="G68" s="250">
        <v>86</v>
      </c>
      <c r="H68" s="250">
        <v>85</v>
      </c>
      <c r="I68" s="347">
        <v>85</v>
      </c>
    </row>
    <row r="69" spans="2:9" ht="15.6" x14ac:dyDescent="0.3">
      <c r="B69" s="355" t="s">
        <v>387</v>
      </c>
      <c r="C69" s="261" t="s">
        <v>314</v>
      </c>
      <c r="D69" s="250">
        <v>79</v>
      </c>
      <c r="E69" s="250">
        <v>100</v>
      </c>
      <c r="F69" s="250">
        <v>82</v>
      </c>
      <c r="G69" s="250">
        <v>55</v>
      </c>
      <c r="H69" s="250">
        <v>100</v>
      </c>
      <c r="I69" s="347">
        <v>100</v>
      </c>
    </row>
    <row r="70" spans="2:9" ht="18.600000000000001" x14ac:dyDescent="0.4">
      <c r="B70" s="355" t="s">
        <v>388</v>
      </c>
      <c r="C70" s="250" t="s">
        <v>337</v>
      </c>
      <c r="D70" s="348">
        <f>0.47*D17</f>
        <v>71983.789999999994</v>
      </c>
      <c r="E70" s="348">
        <f>0.49*E17</f>
        <v>101041.43</v>
      </c>
      <c r="F70" s="348">
        <f>0.84*F17</f>
        <v>149174.75999999998</v>
      </c>
      <c r="G70" s="348">
        <f>0.42*G17</f>
        <v>55401.78</v>
      </c>
      <c r="H70" s="250"/>
      <c r="I70" s="347"/>
    </row>
    <row r="71" spans="2:9" ht="15.6" x14ac:dyDescent="0.3">
      <c r="B71" s="355" t="s">
        <v>389</v>
      </c>
      <c r="C71" s="261" t="s">
        <v>390</v>
      </c>
      <c r="D71" s="250"/>
      <c r="E71" s="250"/>
      <c r="F71" s="250"/>
      <c r="G71" s="250"/>
      <c r="H71" s="250"/>
      <c r="I71" s="347"/>
    </row>
    <row r="72" spans="2:9" ht="15.6" x14ac:dyDescent="0.3">
      <c r="B72" s="355" t="s">
        <v>391</v>
      </c>
      <c r="C72" s="261" t="s">
        <v>360</v>
      </c>
      <c r="D72" s="250"/>
      <c r="E72" s="250"/>
      <c r="F72" s="250"/>
      <c r="G72" s="250"/>
      <c r="H72" s="250"/>
      <c r="I72" s="347"/>
    </row>
    <row r="73" spans="2:9" ht="16.2" thickBot="1" x14ac:dyDescent="0.35">
      <c r="B73" s="356" t="s">
        <v>392</v>
      </c>
      <c r="C73" s="357" t="s">
        <v>360</v>
      </c>
      <c r="D73" s="358">
        <v>90</v>
      </c>
      <c r="E73" s="358">
        <v>95</v>
      </c>
      <c r="F73" s="358">
        <v>90</v>
      </c>
      <c r="G73" s="358">
        <v>95</v>
      </c>
      <c r="H73" s="358">
        <v>90</v>
      </c>
      <c r="I73" s="359">
        <v>95</v>
      </c>
    </row>
  </sheetData>
  <mergeCells count="44">
    <mergeCell ref="AY20:AZ20"/>
    <mergeCell ref="AM27:AO27"/>
    <mergeCell ref="BC20:BE20"/>
    <mergeCell ref="BF20:BH20"/>
    <mergeCell ref="AF27:AG27"/>
    <mergeCell ref="AH27:AI27"/>
    <mergeCell ref="AJ27:AK27"/>
    <mergeCell ref="AU20:AV20"/>
    <mergeCell ref="AW20:AX20"/>
    <mergeCell ref="AH20:AI20"/>
    <mergeCell ref="AJ20:AK20"/>
    <mergeCell ref="AL20:AM20"/>
    <mergeCell ref="AN20:AO20"/>
    <mergeCell ref="AP20:AQ20"/>
    <mergeCell ref="L14:N14"/>
    <mergeCell ref="O14:Q14"/>
    <mergeCell ref="R14:T14"/>
    <mergeCell ref="U14:W14"/>
    <mergeCell ref="AF20:AG20"/>
    <mergeCell ref="X14:Z14"/>
    <mergeCell ref="AA14:AC14"/>
    <mergeCell ref="A55:A56"/>
    <mergeCell ref="A57:A60"/>
    <mergeCell ref="A61:A63"/>
    <mergeCell ref="C3:C4"/>
    <mergeCell ref="D3:I3"/>
    <mergeCell ref="A16:A22"/>
    <mergeCell ref="A34:A38"/>
    <mergeCell ref="A41:A45"/>
    <mergeCell ref="A23:A25"/>
    <mergeCell ref="A27:A33"/>
    <mergeCell ref="A46:A54"/>
    <mergeCell ref="B3:B4"/>
    <mergeCell ref="J34:J35"/>
    <mergeCell ref="J36:J37"/>
    <mergeCell ref="J38:J39"/>
    <mergeCell ref="B67:I67"/>
    <mergeCell ref="AH18:AK18"/>
    <mergeCell ref="AA20:AC20"/>
    <mergeCell ref="L20:N20"/>
    <mergeCell ref="O20:Q20"/>
    <mergeCell ref="R20:T20"/>
    <mergeCell ref="U20:W20"/>
    <mergeCell ref="X20:Z2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C223-082B-4025-A6BC-6EFE2FCE833E}">
  <dimension ref="A3:AG80"/>
  <sheetViews>
    <sheetView topLeftCell="A9" zoomScale="55" zoomScaleNormal="55" workbookViewId="0">
      <selection activeCell="I9" sqref="I9"/>
    </sheetView>
  </sheetViews>
  <sheetFormatPr baseColWidth="10" defaultRowHeight="12" x14ac:dyDescent="0.25"/>
  <sheetData>
    <row r="3" spans="1:12" x14ac:dyDescent="0.25">
      <c r="C3" s="11"/>
      <c r="D3" s="11"/>
      <c r="E3" s="11"/>
      <c r="F3" s="11"/>
    </row>
    <row r="4" spans="1:12" ht="12.6" thickBot="1" x14ac:dyDescent="0.3"/>
    <row r="5" spans="1:12" ht="14.4" thickBot="1" x14ac:dyDescent="0.3">
      <c r="A5" s="430" t="s">
        <v>20</v>
      </c>
      <c r="B5" s="430" t="s">
        <v>21</v>
      </c>
      <c r="C5" s="425" t="s">
        <v>22</v>
      </c>
      <c r="D5" s="425"/>
      <c r="E5" s="425" t="s">
        <v>23</v>
      </c>
      <c r="F5" s="425"/>
      <c r="G5" s="425" t="s">
        <v>24</v>
      </c>
      <c r="H5" s="425"/>
      <c r="I5" s="425" t="s">
        <v>35</v>
      </c>
      <c r="J5" s="425"/>
      <c r="K5" s="425" t="s">
        <v>196</v>
      </c>
      <c r="L5" s="425"/>
    </row>
    <row r="6" spans="1:12" ht="13.8" x14ac:dyDescent="0.25">
      <c r="A6" s="431"/>
      <c r="B6" s="431"/>
      <c r="C6" s="426" t="s">
        <v>25</v>
      </c>
      <c r="D6" s="15" t="s">
        <v>26</v>
      </c>
      <c r="E6" s="426" t="s">
        <v>25</v>
      </c>
      <c r="F6" s="15" t="s">
        <v>26</v>
      </c>
      <c r="G6" s="426" t="s">
        <v>25</v>
      </c>
      <c r="H6" s="15" t="s">
        <v>26</v>
      </c>
      <c r="I6" s="426" t="s">
        <v>25</v>
      </c>
      <c r="J6" s="15" t="s">
        <v>26</v>
      </c>
      <c r="K6" s="426" t="s">
        <v>25</v>
      </c>
      <c r="L6" s="15" t="s">
        <v>26</v>
      </c>
    </row>
    <row r="7" spans="1:12" ht="14.4" thickBot="1" x14ac:dyDescent="0.3">
      <c r="A7" s="432"/>
      <c r="B7" s="433"/>
      <c r="C7" s="427"/>
      <c r="D7" s="16" t="s">
        <v>27</v>
      </c>
      <c r="E7" s="427"/>
      <c r="F7" s="16" t="s">
        <v>27</v>
      </c>
      <c r="G7" s="427"/>
      <c r="H7" s="16" t="s">
        <v>27</v>
      </c>
      <c r="I7" s="427"/>
      <c r="J7" s="16" t="s">
        <v>27</v>
      </c>
      <c r="K7" s="427"/>
      <c r="L7" s="16" t="s">
        <v>27</v>
      </c>
    </row>
    <row r="8" spans="1:12" ht="27.6" x14ac:dyDescent="0.25">
      <c r="A8" s="13" t="s">
        <v>28</v>
      </c>
      <c r="B8" s="17" t="s">
        <v>29</v>
      </c>
      <c r="C8" s="24">
        <v>0.65</v>
      </c>
      <c r="D8" s="15">
        <v>5.0999999999999996</v>
      </c>
      <c r="E8" s="22">
        <v>0.35</v>
      </c>
      <c r="F8" s="15">
        <v>2.4</v>
      </c>
      <c r="G8" s="22">
        <v>0.15</v>
      </c>
      <c r="H8" s="15">
        <v>2.1</v>
      </c>
      <c r="I8" s="24">
        <v>0.5</v>
      </c>
      <c r="J8" s="15">
        <v>5.0999999999999996</v>
      </c>
      <c r="K8" s="24">
        <v>0.1</v>
      </c>
      <c r="L8" s="15">
        <v>5.0999999999999996</v>
      </c>
    </row>
    <row r="9" spans="1:12" ht="13.8" x14ac:dyDescent="0.25">
      <c r="A9" s="13" t="s">
        <v>15</v>
      </c>
      <c r="B9" s="428" t="s">
        <v>30</v>
      </c>
      <c r="C9" s="24">
        <v>0.44059999999999999</v>
      </c>
      <c r="D9" s="15">
        <v>2.5</v>
      </c>
      <c r="E9" s="22">
        <v>0.4531</v>
      </c>
      <c r="F9" s="15">
        <v>3.2</v>
      </c>
      <c r="G9" s="22">
        <v>0.47589999999999999</v>
      </c>
      <c r="H9" s="13">
        <v>3.9</v>
      </c>
      <c r="I9" s="24">
        <v>0.44059999999999999</v>
      </c>
      <c r="J9" s="15">
        <v>2.5</v>
      </c>
      <c r="K9" s="24">
        <v>0.44059999999999999</v>
      </c>
      <c r="L9" s="15">
        <v>2.5</v>
      </c>
    </row>
    <row r="10" spans="1:12" ht="13.8" x14ac:dyDescent="0.25">
      <c r="A10" s="13" t="s">
        <v>16</v>
      </c>
      <c r="B10" s="428"/>
      <c r="C10" s="24">
        <v>6.08E-2</v>
      </c>
      <c r="D10" s="15">
        <v>0.7</v>
      </c>
      <c r="E10" s="22">
        <v>6.1100000000000002E-2</v>
      </c>
      <c r="F10" s="15">
        <v>1.1000000000000001</v>
      </c>
      <c r="G10" s="22">
        <v>5.6500000000000002E-2</v>
      </c>
      <c r="H10" s="13">
        <v>2</v>
      </c>
      <c r="I10" s="24">
        <v>6.08E-2</v>
      </c>
      <c r="J10" s="15">
        <v>0.7</v>
      </c>
      <c r="K10" s="24">
        <v>6.08E-2</v>
      </c>
      <c r="L10" s="15">
        <v>0.7</v>
      </c>
    </row>
    <row r="11" spans="1:12" ht="13.8" x14ac:dyDescent="0.25">
      <c r="A11" s="13" t="s">
        <v>17</v>
      </c>
      <c r="B11" s="428"/>
      <c r="C11" s="24">
        <v>0.35849999999999999</v>
      </c>
      <c r="D11" s="15">
        <v>4.0999999999999996</v>
      </c>
      <c r="E11" s="22">
        <v>0.32269999999999999</v>
      </c>
      <c r="F11" s="15">
        <v>4.9000000000000004</v>
      </c>
      <c r="G11" s="22">
        <v>0.35489999999999999</v>
      </c>
      <c r="H11" s="13">
        <v>5.0999999999999996</v>
      </c>
      <c r="I11" s="24">
        <v>0.35849999999999999</v>
      </c>
      <c r="J11" s="15">
        <v>4.0999999999999996</v>
      </c>
      <c r="K11" s="24">
        <v>0.35849999999999999</v>
      </c>
      <c r="L11" s="15">
        <v>4.0999999999999996</v>
      </c>
    </row>
    <row r="12" spans="1:12" ht="13.8" x14ac:dyDescent="0.25">
      <c r="A12" s="13" t="s">
        <v>18</v>
      </c>
      <c r="B12" s="428"/>
      <c r="C12" s="24">
        <v>5.7999999999999996E-3</v>
      </c>
      <c r="D12" s="15">
        <v>0.7</v>
      </c>
      <c r="E12" s="22">
        <v>1.0200000000000001E-2</v>
      </c>
      <c r="F12" s="15">
        <v>0.6</v>
      </c>
      <c r="G12" s="22">
        <v>3.3E-3</v>
      </c>
      <c r="H12" s="13">
        <v>0.7</v>
      </c>
      <c r="I12" s="24">
        <v>5.7999999999999996E-3</v>
      </c>
      <c r="J12" s="15">
        <v>0.7</v>
      </c>
      <c r="K12" s="24">
        <v>5.7999999999999996E-3</v>
      </c>
      <c r="L12" s="15">
        <v>0.7</v>
      </c>
    </row>
    <row r="13" spans="1:12" ht="14.4" thickBot="1" x14ac:dyDescent="0.3">
      <c r="A13" s="18" t="s">
        <v>19</v>
      </c>
      <c r="B13" s="429"/>
      <c r="C13" s="25">
        <v>1.1999999999999999E-3</v>
      </c>
      <c r="D13" s="16">
        <v>0.4</v>
      </c>
      <c r="E13" s="23">
        <v>1.6999999999999999E-3</v>
      </c>
      <c r="F13" s="16">
        <v>0.2</v>
      </c>
      <c r="G13" s="23">
        <v>6.9999999999999999E-4</v>
      </c>
      <c r="H13" s="18">
        <v>0.2</v>
      </c>
      <c r="I13" s="25">
        <v>1.1999999999999999E-3</v>
      </c>
      <c r="J13" s="16">
        <v>0.4</v>
      </c>
      <c r="K13" s="25">
        <v>1.1999999999999999E-3</v>
      </c>
      <c r="L13" s="16">
        <v>0.4</v>
      </c>
    </row>
    <row r="14" spans="1:12" ht="13.8" x14ac:dyDescent="0.25">
      <c r="A14" s="13" t="s">
        <v>32</v>
      </c>
      <c r="B14" s="17" t="s">
        <v>33</v>
      </c>
      <c r="C14" s="26">
        <f>+((0.3443*C9)+(1.192*C10)-(0.113*C11)-(0.024*C12)+(0.093*C13))*100000</f>
        <v>18363.407999999999</v>
      </c>
      <c r="D14" s="15">
        <v>2.4</v>
      </c>
      <c r="E14" s="26">
        <f>+((0.3443*E9)+(1.192*E10)-(0.113*E11)-(0.024*E12)+(0.093*E13))*100000</f>
        <v>19228.173000000003</v>
      </c>
      <c r="F14" s="15">
        <v>2.2000000000000002</v>
      </c>
      <c r="G14" s="26">
        <f>+((0.3443*G9)+(1.192*G10)-(0.113*G11)-(0.024*G12)+(0.093*G13))*100000</f>
        <v>19108.257000000001</v>
      </c>
      <c r="H14" s="15">
        <v>3.1</v>
      </c>
      <c r="I14" s="26">
        <f>+((0.3443*I9)+(1.192*I10)-(0.113*I11)-(0.024*I12)+(0.093*I13))*100000</f>
        <v>18363.407999999999</v>
      </c>
      <c r="J14" s="15">
        <v>2.4</v>
      </c>
      <c r="K14" s="26">
        <f>+((0.3443*K9)+(1.192*K10)-(0.113*K11)-(0.024*K12)+(0.093*K13))*100000</f>
        <v>18363.407999999999</v>
      </c>
      <c r="L14" s="15">
        <v>2.4</v>
      </c>
    </row>
    <row r="15" spans="1:12" ht="14.4" thickBot="1" x14ac:dyDescent="0.3">
      <c r="A15" s="18" t="s">
        <v>34</v>
      </c>
      <c r="B15" s="19" t="s">
        <v>33</v>
      </c>
      <c r="C15" s="21">
        <f>(C14*(1-C8))-(2.444*C8)-(21.839*C10*(1-C8))</f>
        <v>6425.1394660799997</v>
      </c>
      <c r="D15" s="20"/>
      <c r="E15" s="21">
        <f>(E14*(1-E8))-(2.444*E8)-(21.839*E10*(1-E8))</f>
        <v>12496.589714115002</v>
      </c>
      <c r="F15" s="20"/>
      <c r="G15" s="21">
        <f>(G14*(1-G8))-(2.444*G8)-(21.839*G10*(1-G8))</f>
        <v>16240.603032025003</v>
      </c>
      <c r="H15" s="20"/>
      <c r="I15" s="21">
        <f>(I14*(1-I8))-(2.444*I8)-(21.839*I10*(1-I8))</f>
        <v>9179.8180943999996</v>
      </c>
      <c r="J15" s="20"/>
      <c r="K15" s="21">
        <f>(K14*(1-K8))-(2.444*K8)-(21.839*K10*(1-K8))</f>
        <v>16525.62776992</v>
      </c>
      <c r="L15" s="20"/>
    </row>
    <row r="16" spans="1:12" x14ac:dyDescent="0.25">
      <c r="C16" s="10"/>
      <c r="D16" s="10"/>
      <c r="E16" s="10"/>
      <c r="F16" s="10"/>
    </row>
    <row r="18" spans="1:33" ht="13.8" x14ac:dyDescent="0.25">
      <c r="A18" s="13" t="s">
        <v>36</v>
      </c>
      <c r="B18">
        <v>30000</v>
      </c>
    </row>
    <row r="19" spans="1:33" x14ac:dyDescent="0.25">
      <c r="B19" t="s">
        <v>38</v>
      </c>
      <c r="C19" t="s">
        <v>39</v>
      </c>
    </row>
    <row r="20" spans="1:33" x14ac:dyDescent="0.25">
      <c r="A20" t="s">
        <v>35</v>
      </c>
      <c r="B20" s="12">
        <f>0.21*0.85*B18/3600</f>
        <v>1.4875</v>
      </c>
      <c r="C20" s="10">
        <f>+B20*I15</f>
        <v>13654.979415419999</v>
      </c>
    </row>
    <row r="21" spans="1:33" x14ac:dyDescent="0.25">
      <c r="A21" t="s">
        <v>24</v>
      </c>
      <c r="B21" s="12">
        <f>0.052*B18/3600</f>
        <v>0.43333333333333335</v>
      </c>
      <c r="C21" s="10">
        <f>+B21*G15</f>
        <v>7037.5946472108344</v>
      </c>
    </row>
    <row r="22" spans="1:33" x14ac:dyDescent="0.25">
      <c r="A22" t="s">
        <v>37</v>
      </c>
      <c r="B22" s="12">
        <f>0.132*B18/3600</f>
        <v>1.1000000000000001</v>
      </c>
      <c r="C22" s="10">
        <f>+B22*E15</f>
        <v>13746.248685526503</v>
      </c>
    </row>
    <row r="23" spans="1:33" x14ac:dyDescent="0.25">
      <c r="C23" s="10">
        <f>SUM(C20:C22)</f>
        <v>34438.822748157334</v>
      </c>
    </row>
    <row r="24" spans="1:33" x14ac:dyDescent="0.25">
      <c r="C24" s="10">
        <f>+C23*0.15</f>
        <v>5165.8234122235999</v>
      </c>
    </row>
    <row r="27" spans="1:33" ht="36" x14ac:dyDescent="0.25">
      <c r="A27" s="11" t="s">
        <v>465</v>
      </c>
      <c r="B27" s="11" t="s">
        <v>471</v>
      </c>
      <c r="C27" s="197" t="s">
        <v>472</v>
      </c>
      <c r="D27" s="4" t="s">
        <v>507</v>
      </c>
      <c r="E27" s="11" t="s">
        <v>508</v>
      </c>
      <c r="F27" s="197" t="s">
        <v>472</v>
      </c>
    </row>
    <row r="28" spans="1:33" x14ac:dyDescent="0.25">
      <c r="A28" t="s">
        <v>466</v>
      </c>
      <c r="B28" s="198">
        <v>0.15</v>
      </c>
      <c r="C28">
        <v>4.18</v>
      </c>
      <c r="D28">
        <f>+B28*C28</f>
        <v>0.62699999999999989</v>
      </c>
      <c r="E28" s="198">
        <v>4.5714285714285707E-2</v>
      </c>
      <c r="F28">
        <f>+C28*E28</f>
        <v>0.19108571428571425</v>
      </c>
    </row>
    <row r="29" spans="1:33" ht="12.6" thickBot="1" x14ac:dyDescent="0.3">
      <c r="A29" t="s">
        <v>309</v>
      </c>
      <c r="B29" s="198">
        <v>6.8000000000000005E-2</v>
      </c>
      <c r="C29">
        <v>1.88</v>
      </c>
      <c r="D29">
        <f t="shared" ref="D29:D34" si="0">+B29*C29</f>
        <v>0.12784000000000001</v>
      </c>
      <c r="E29" s="198">
        <v>7.7714285714285722E-2</v>
      </c>
      <c r="F29">
        <f t="shared" ref="F29:F34" si="1">+C29*E29</f>
        <v>0.14610285714285715</v>
      </c>
      <c r="AA29" s="193">
        <v>30</v>
      </c>
      <c r="AB29" s="193">
        <v>40</v>
      </c>
      <c r="AC29" s="193">
        <v>30</v>
      </c>
      <c r="AD29" s="193">
        <v>24</v>
      </c>
      <c r="AE29" s="193">
        <v>24</v>
      </c>
      <c r="AF29" s="193">
        <v>20</v>
      </c>
      <c r="AG29" s="207">
        <v>40</v>
      </c>
    </row>
    <row r="30" spans="1:33" ht="12.6" thickBot="1" x14ac:dyDescent="0.3">
      <c r="A30" t="s">
        <v>379</v>
      </c>
      <c r="B30" s="198">
        <v>5.1999999999999998E-2</v>
      </c>
      <c r="C30">
        <v>1.59</v>
      </c>
      <c r="D30">
        <f t="shared" si="0"/>
        <v>8.2680000000000003E-2</v>
      </c>
      <c r="E30" s="198">
        <v>5.9428571428571428E-2</v>
      </c>
      <c r="F30">
        <f t="shared" si="1"/>
        <v>9.4491428571428573E-2</v>
      </c>
      <c r="Y30" s="406" t="str">
        <f>Datos_Base!A10</f>
        <v>Esterilización</v>
      </c>
      <c r="Z30" s="407"/>
      <c r="AA30" s="407"/>
      <c r="AB30" s="407"/>
      <c r="AC30" s="407"/>
      <c r="AD30" s="407"/>
      <c r="AE30" s="407"/>
      <c r="AF30" s="408"/>
    </row>
    <row r="31" spans="1:33" ht="12.6" thickBot="1" x14ac:dyDescent="0.3">
      <c r="A31" t="s">
        <v>467</v>
      </c>
      <c r="B31" s="198">
        <v>0.23499999999999999</v>
      </c>
      <c r="C31">
        <v>1.46</v>
      </c>
      <c r="D31">
        <f t="shared" si="0"/>
        <v>0.34309999999999996</v>
      </c>
      <c r="E31" s="198">
        <v>0.26857142857142857</v>
      </c>
      <c r="F31">
        <f t="shared" si="1"/>
        <v>0.39211428571428569</v>
      </c>
      <c r="Y31" s="191" t="str">
        <f>Datos_Base!A11</f>
        <v>Vapor de esterilización</v>
      </c>
      <c r="Z31" s="192" t="str">
        <f>Datos_Base!B11</f>
        <v>kgvapor∙h-1</v>
      </c>
      <c r="AA31" s="193">
        <f>Datos_Base!C11</f>
        <v>6371</v>
      </c>
      <c r="AB31" s="193">
        <f>Datos_Base!D11</f>
        <v>8060</v>
      </c>
      <c r="AC31" s="193">
        <f>Datos_Base!E11</f>
        <v>7036</v>
      </c>
      <c r="AD31" s="193">
        <f>Datos_Base!F11</f>
        <v>5292</v>
      </c>
      <c r="AE31" s="193">
        <f>Datos_Base!G11</f>
        <v>5153</v>
      </c>
      <c r="AF31" s="193">
        <f>Datos_Base!H11</f>
        <v>4060</v>
      </c>
      <c r="AG31">
        <f>+AG32*AG29</f>
        <v>12600</v>
      </c>
    </row>
    <row r="32" spans="1:33" ht="12.6" thickBot="1" x14ac:dyDescent="0.3">
      <c r="A32" t="s">
        <v>468</v>
      </c>
      <c r="B32" s="198">
        <v>0.14000000000000001</v>
      </c>
      <c r="C32">
        <v>1.8</v>
      </c>
      <c r="D32">
        <f t="shared" si="0"/>
        <v>0.25200000000000006</v>
      </c>
      <c r="E32" s="198">
        <v>0.16</v>
      </c>
      <c r="F32">
        <f t="shared" si="1"/>
        <v>0.28800000000000003</v>
      </c>
      <c r="Y32" s="191">
        <f>Datos_Base!A12</f>
        <v>0</v>
      </c>
      <c r="Z32" s="192">
        <f>Datos_Base!B12</f>
        <v>0</v>
      </c>
      <c r="AA32" s="202">
        <f>Datos_Base!C12</f>
        <v>212.36666666666667</v>
      </c>
      <c r="AB32" s="202">
        <f>Datos_Base!D12</f>
        <v>201.5</v>
      </c>
      <c r="AC32" s="202">
        <f>Datos_Base!E12</f>
        <v>234.53333333333333</v>
      </c>
      <c r="AD32" s="202">
        <f>Datos_Base!F12</f>
        <v>220.5</v>
      </c>
      <c r="AE32" s="202">
        <f>Datos_Base!G12</f>
        <v>214.70833333333334</v>
      </c>
      <c r="AF32" s="202">
        <f>Datos_Base!H12</f>
        <v>203</v>
      </c>
      <c r="AG32">
        <v>315</v>
      </c>
    </row>
    <row r="33" spans="1:33" ht="12.6" thickBot="1" x14ac:dyDescent="0.3">
      <c r="A33" t="s">
        <v>469</v>
      </c>
      <c r="B33" s="198">
        <v>0.22</v>
      </c>
      <c r="C33">
        <v>1.67</v>
      </c>
      <c r="D33">
        <f t="shared" si="0"/>
        <v>0.3674</v>
      </c>
      <c r="E33" s="198">
        <v>0.25142857142857145</v>
      </c>
      <c r="F33">
        <f t="shared" si="1"/>
        <v>0.41988571428571431</v>
      </c>
      <c r="Y33" s="191" t="str">
        <f>Datos_Base!A13</f>
        <v xml:space="preserve">Deshidratación del fruto </v>
      </c>
      <c r="Z33" s="192" t="str">
        <f>Datos_Base!B13</f>
        <v>%</v>
      </c>
      <c r="AA33" s="203">
        <v>0.11799999999999999</v>
      </c>
      <c r="AB33" s="203">
        <v>0.11119999999999999</v>
      </c>
      <c r="AC33" s="203">
        <v>0.1206</v>
      </c>
      <c r="AD33" s="203">
        <v>0.1032</v>
      </c>
      <c r="AE33" s="203">
        <v>0.1232</v>
      </c>
      <c r="AF33" s="203">
        <v>0.12130000000000001</v>
      </c>
      <c r="AG33" s="208">
        <f>1-88.1%</f>
        <v>0.11900000000000011</v>
      </c>
    </row>
    <row r="34" spans="1:33" ht="12.6" thickBot="1" x14ac:dyDescent="0.3">
      <c r="A34" t="s">
        <v>470</v>
      </c>
      <c r="B34" s="198">
        <v>0.12</v>
      </c>
      <c r="C34">
        <v>2.2200000000000002</v>
      </c>
      <c r="D34">
        <f t="shared" si="0"/>
        <v>0.26640000000000003</v>
      </c>
      <c r="E34" s="198">
        <v>0.13714285714285715</v>
      </c>
      <c r="F34">
        <f t="shared" si="1"/>
        <v>0.30445714285714293</v>
      </c>
      <c r="Y34" s="191" t="str">
        <f>Datos_Base!A14</f>
        <v>Condensados de esterilización</v>
      </c>
      <c r="Z34" s="192" t="str">
        <f>Datos_Base!B14</f>
        <v>kg∙tRFF∙h-1</v>
      </c>
      <c r="AA34" s="193">
        <f>Datos_Base!C14</f>
        <v>4170</v>
      </c>
      <c r="AB34" s="193">
        <f>Datos_Base!D14</f>
        <v>5386</v>
      </c>
      <c r="AC34" s="193">
        <f>Datos_Base!E14</f>
        <v>4348</v>
      </c>
      <c r="AD34" s="193">
        <f>Datos_Base!F14</f>
        <v>3304</v>
      </c>
      <c r="AE34" s="193">
        <f>Datos_Base!G14</f>
        <v>3317</v>
      </c>
      <c r="AF34" s="193">
        <f>Datos_Base!H14</f>
        <v>2844</v>
      </c>
      <c r="AG34">
        <f>+AG29*AG35</f>
        <v>1560</v>
      </c>
    </row>
    <row r="35" spans="1:33" ht="12.6" thickBot="1" x14ac:dyDescent="0.3">
      <c r="A35" t="s">
        <v>503</v>
      </c>
      <c r="B35" s="214">
        <f>SUM(B28:B34)</f>
        <v>0.98499999999999999</v>
      </c>
      <c r="D35" s="215">
        <f>SUM(D28:D34)</f>
        <v>2.0664199999999999</v>
      </c>
      <c r="E35" t="s">
        <v>502</v>
      </c>
      <c r="F35" s="215">
        <f>SUM(F28:F34)</f>
        <v>1.8361371428571431</v>
      </c>
      <c r="Y35" s="195">
        <f>Datos_Base!A15</f>
        <v>0</v>
      </c>
      <c r="Z35" s="196">
        <f>Datos_Base!B15</f>
        <v>0</v>
      </c>
      <c r="AA35" s="199">
        <v>150</v>
      </c>
      <c r="AB35" s="199">
        <v>154</v>
      </c>
      <c r="AC35" s="199">
        <v>148</v>
      </c>
      <c r="AD35" s="199">
        <v>145</v>
      </c>
      <c r="AE35" s="199">
        <v>168</v>
      </c>
      <c r="AF35" s="199">
        <v>167</v>
      </c>
      <c r="AG35" s="206">
        <v>39</v>
      </c>
    </row>
    <row r="36" spans="1:33" ht="12.6" thickBot="1" x14ac:dyDescent="0.3">
      <c r="C36">
        <f>SUMPRODUCT(C28:D34)</f>
        <v>16.866420000000002</v>
      </c>
      <c r="Y36" s="195" t="str">
        <f>Datos_Base!A16</f>
        <v>Vapor evaporador</v>
      </c>
      <c r="Z36" s="196" t="str">
        <f>Datos_Base!B16</f>
        <v xml:space="preserve"> </v>
      </c>
      <c r="AA36" s="199">
        <f>Datos_Base!C16</f>
        <v>4922.8666666666668</v>
      </c>
      <c r="AB36" s="199">
        <f>Datos_Base!D16</f>
        <v>6065.05</v>
      </c>
      <c r="AC36" s="199">
        <f>Datos_Base!E16</f>
        <v>4588.25</v>
      </c>
      <c r="AD36" s="199">
        <f>Datos_Base!F16</f>
        <v>3681.7533333333336</v>
      </c>
      <c r="AE36" s="199">
        <f>Datos_Base!G16</f>
        <v>3675.42</v>
      </c>
      <c r="AF36" s="199">
        <f>Datos_Base!H16</f>
        <v>3059.9</v>
      </c>
      <c r="AG36">
        <f>+AG37*AG29</f>
        <v>15800</v>
      </c>
    </row>
    <row r="37" spans="1:33" ht="12.6" thickBot="1" x14ac:dyDescent="0.3">
      <c r="Y37" s="195">
        <f>Datos_Base!A17</f>
        <v>0</v>
      </c>
      <c r="Z37" s="196">
        <f>Datos_Base!B17</f>
        <v>0</v>
      </c>
      <c r="AA37" s="199">
        <v>170</v>
      </c>
      <c r="AB37" s="199">
        <f>Datos_Base!D17</f>
        <v>151.62625</v>
      </c>
      <c r="AC37" s="199">
        <f>Datos_Base!E17</f>
        <v>152.94166666666666</v>
      </c>
      <c r="AD37" s="199">
        <f>Datos_Base!F17</f>
        <v>153.4063888888889</v>
      </c>
      <c r="AE37" s="199">
        <f>Datos_Base!G17</f>
        <v>153.14250000000001</v>
      </c>
      <c r="AF37" s="199">
        <f>Datos_Base!H17</f>
        <v>152.995</v>
      </c>
      <c r="AG37">
        <v>395</v>
      </c>
    </row>
    <row r="38" spans="1:33" ht="12.6" thickBot="1" x14ac:dyDescent="0.3">
      <c r="E38">
        <f>30+273</f>
        <v>303</v>
      </c>
      <c r="Y38" s="195" t="str">
        <f>Datos_Base!A18</f>
        <v>Eficiencia energpetica</v>
      </c>
      <c r="Z38" s="196" t="str">
        <f>Datos_Base!B18</f>
        <v>%</v>
      </c>
      <c r="AA38" s="200">
        <f>Datos_Base!C18</f>
        <v>0</v>
      </c>
      <c r="AB38" s="200">
        <f>Datos_Base!D18</f>
        <v>0</v>
      </c>
      <c r="AC38" s="200">
        <f>Datos_Base!E18</f>
        <v>0</v>
      </c>
      <c r="AD38" s="200">
        <f>Datos_Base!F18</f>
        <v>0</v>
      </c>
      <c r="AE38" s="200">
        <f>Datos_Base!G18</f>
        <v>0</v>
      </c>
      <c r="AF38" s="200">
        <f>Datos_Base!H18</f>
        <v>0</v>
      </c>
    </row>
    <row r="39" spans="1:33" x14ac:dyDescent="0.25">
      <c r="E39">
        <f>2.066*303</f>
        <v>625.99799999999993</v>
      </c>
      <c r="AA39">
        <v>1000</v>
      </c>
      <c r="AB39">
        <v>1000</v>
      </c>
      <c r="AC39">
        <v>1000</v>
      </c>
      <c r="AD39">
        <v>1000</v>
      </c>
      <c r="AE39">
        <v>1000</v>
      </c>
      <c r="AF39">
        <v>1000</v>
      </c>
    </row>
    <row r="40" spans="1:33" x14ac:dyDescent="0.25">
      <c r="B40" s="198"/>
      <c r="C40" s="214"/>
      <c r="D40" s="198"/>
      <c r="E40">
        <f>4.18*303</f>
        <v>1266.54</v>
      </c>
      <c r="K40" t="s">
        <v>152</v>
      </c>
      <c r="P40">
        <f>+(0.05)*2.22+(0.95)*4.18</f>
        <v>4.0819999999999999</v>
      </c>
      <c r="Q40">
        <f>80+273</f>
        <v>353</v>
      </c>
    </row>
    <row r="41" spans="1:33" x14ac:dyDescent="0.25">
      <c r="B41" s="198"/>
      <c r="C41" s="198"/>
      <c r="D41" s="198"/>
      <c r="K41" t="s">
        <v>150</v>
      </c>
      <c r="P41">
        <f>(0.5*1.59)+(0.5*1.88)</f>
        <v>1.7349999999999999</v>
      </c>
      <c r="Q41">
        <f>+Q40*P40</f>
        <v>1440.9459999999999</v>
      </c>
      <c r="AA41" s="204">
        <f>(1-AA33)*AA39</f>
        <v>882</v>
      </c>
      <c r="AB41" s="204">
        <f t="shared" ref="AB41:AF41" si="2">(1-AB33)*AB39</f>
        <v>888.80000000000007</v>
      </c>
      <c r="AC41" s="204">
        <f t="shared" si="2"/>
        <v>879.4</v>
      </c>
      <c r="AD41" s="204">
        <f t="shared" si="2"/>
        <v>896.80000000000007</v>
      </c>
      <c r="AE41" s="204">
        <f t="shared" si="2"/>
        <v>876.80000000000007</v>
      </c>
      <c r="AF41" s="204">
        <f t="shared" si="2"/>
        <v>878.7</v>
      </c>
      <c r="AG41">
        <v>881</v>
      </c>
    </row>
    <row r="42" spans="1:33" x14ac:dyDescent="0.25">
      <c r="B42" s="198"/>
      <c r="C42" s="198"/>
      <c r="D42" s="198"/>
      <c r="Z42" t="s">
        <v>475</v>
      </c>
      <c r="AA42" s="10">
        <f>+AA32</f>
        <v>212.36666666666667</v>
      </c>
      <c r="AB42" s="10">
        <f t="shared" ref="AB42:AF42" si="3">+AB32</f>
        <v>201.5</v>
      </c>
      <c r="AC42" s="10">
        <f t="shared" si="3"/>
        <v>234.53333333333333</v>
      </c>
      <c r="AD42" s="10">
        <f t="shared" si="3"/>
        <v>220.5</v>
      </c>
      <c r="AE42" s="10">
        <f t="shared" si="3"/>
        <v>214.70833333333334</v>
      </c>
      <c r="AF42" s="10">
        <f t="shared" si="3"/>
        <v>203</v>
      </c>
      <c r="AG42">
        <v>395</v>
      </c>
    </row>
    <row r="43" spans="1:33" x14ac:dyDescent="0.25">
      <c r="B43" s="198"/>
      <c r="C43" s="198"/>
      <c r="D43" s="198"/>
      <c r="N43">
        <v>3349</v>
      </c>
      <c r="O43">
        <v>0.15</v>
      </c>
      <c r="P43">
        <v>837</v>
      </c>
      <c r="Q43">
        <f>+N43*O43</f>
        <v>502.34999999999997</v>
      </c>
      <c r="R43">
        <f>+Q43+P43</f>
        <v>1339.35</v>
      </c>
      <c r="W43" s="201"/>
      <c r="Z43" t="s">
        <v>476</v>
      </c>
      <c r="AA43" s="10">
        <f>+AA35</f>
        <v>150</v>
      </c>
      <c r="AB43" s="10">
        <f t="shared" ref="AB43:AF43" si="4">+AB35</f>
        <v>154</v>
      </c>
      <c r="AC43" s="10">
        <f t="shared" si="4"/>
        <v>148</v>
      </c>
      <c r="AD43" s="10">
        <f t="shared" si="4"/>
        <v>145</v>
      </c>
      <c r="AE43" s="10">
        <f t="shared" si="4"/>
        <v>168</v>
      </c>
      <c r="AF43" s="10">
        <f t="shared" si="4"/>
        <v>167</v>
      </c>
      <c r="AG43">
        <v>40</v>
      </c>
    </row>
    <row r="44" spans="1:33" x14ac:dyDescent="0.25">
      <c r="B44" s="198"/>
      <c r="C44" s="198"/>
      <c r="D44" s="198"/>
      <c r="N44">
        <v>3349</v>
      </c>
      <c r="O44">
        <v>4.4999999999999998E-2</v>
      </c>
      <c r="P44">
        <v>837</v>
      </c>
      <c r="Q44">
        <f>+N44*O44</f>
        <v>150.70499999999998</v>
      </c>
      <c r="R44">
        <f>+Q44+P44</f>
        <v>987.70499999999993</v>
      </c>
      <c r="AA44">
        <v>1340</v>
      </c>
      <c r="AB44">
        <v>1340</v>
      </c>
      <c r="AC44">
        <v>1340</v>
      </c>
      <c r="AD44">
        <v>1340</v>
      </c>
      <c r="AE44">
        <v>1340</v>
      </c>
      <c r="AF44">
        <v>1340</v>
      </c>
      <c r="AG44">
        <v>1340</v>
      </c>
    </row>
    <row r="45" spans="1:33" x14ac:dyDescent="0.25">
      <c r="B45" s="198"/>
      <c r="C45" s="198"/>
      <c r="D45" s="198"/>
      <c r="T45">
        <f>430664+636405-625998</f>
        <v>441071</v>
      </c>
    </row>
    <row r="46" spans="1:33" x14ac:dyDescent="0.25">
      <c r="B46" s="198"/>
      <c r="C46" s="198">
        <f>1.46*353%</f>
        <v>5.1537999999999995</v>
      </c>
      <c r="D46" s="198"/>
      <c r="E46">
        <f>1*1.46*353</f>
        <v>515.38</v>
      </c>
      <c r="T46">
        <f>2703-503</f>
        <v>2200</v>
      </c>
      <c r="AA46">
        <v>987</v>
      </c>
      <c r="AB46">
        <v>987</v>
      </c>
      <c r="AC46">
        <v>987</v>
      </c>
      <c r="AD46">
        <v>987</v>
      </c>
      <c r="AE46">
        <v>987</v>
      </c>
      <c r="AF46">
        <v>987</v>
      </c>
      <c r="AG46">
        <v>987</v>
      </c>
    </row>
    <row r="47" spans="1:33" x14ac:dyDescent="0.25">
      <c r="C47" s="214"/>
      <c r="E47">
        <f>0.9*1.59*353</f>
        <v>505.14300000000003</v>
      </c>
      <c r="F47">
        <f>0.1*4.19*353</f>
        <v>147.90700000000001</v>
      </c>
      <c r="G47">
        <f>+E47+F47</f>
        <v>653.05000000000007</v>
      </c>
      <c r="T47">
        <f>+T45/T46</f>
        <v>200.48681818181819</v>
      </c>
      <c r="AA47">
        <v>2650</v>
      </c>
      <c r="AB47">
        <v>2650</v>
      </c>
      <c r="AC47">
        <v>2650</v>
      </c>
      <c r="AD47">
        <v>2650</v>
      </c>
      <c r="AE47">
        <v>2650</v>
      </c>
      <c r="AF47">
        <v>2650</v>
      </c>
      <c r="AG47">
        <v>2300</v>
      </c>
    </row>
    <row r="48" spans="1:33" x14ac:dyDescent="0.25">
      <c r="E48">
        <f>0.85*1.88*353</f>
        <v>564.09399999999994</v>
      </c>
      <c r="F48">
        <f>0.15*4.19*353</f>
        <v>221.86050000000003</v>
      </c>
      <c r="G48">
        <f>+F48+E48</f>
        <v>785.95449999999994</v>
      </c>
      <c r="AA48">
        <v>450</v>
      </c>
      <c r="AB48">
        <v>450</v>
      </c>
      <c r="AC48">
        <v>450</v>
      </c>
      <c r="AD48">
        <v>450</v>
      </c>
      <c r="AE48">
        <v>450</v>
      </c>
      <c r="AF48">
        <v>450</v>
      </c>
      <c r="AG48">
        <v>450</v>
      </c>
    </row>
    <row r="49" spans="5:33" x14ac:dyDescent="0.25">
      <c r="E49">
        <f>0.65*1.8*353</f>
        <v>413.01000000000005</v>
      </c>
      <c r="F49">
        <f>0.35*4.19+353</f>
        <v>354.4665</v>
      </c>
      <c r="G49">
        <f>+F49+E49</f>
        <v>767.47649999999999</v>
      </c>
      <c r="AA49">
        <f>AA39*AA44</f>
        <v>1340000</v>
      </c>
      <c r="AB49">
        <f t="shared" ref="AB49:AF49" si="5">AB39*AB44</f>
        <v>1340000</v>
      </c>
      <c r="AC49">
        <f t="shared" si="5"/>
        <v>1340000</v>
      </c>
      <c r="AD49">
        <f t="shared" si="5"/>
        <v>1340000</v>
      </c>
      <c r="AE49">
        <f t="shared" si="5"/>
        <v>1340000</v>
      </c>
      <c r="AF49">
        <f t="shared" si="5"/>
        <v>1340000</v>
      </c>
      <c r="AG49">
        <f>AB60*AG44</f>
        <v>1340000</v>
      </c>
    </row>
    <row r="50" spans="5:33" x14ac:dyDescent="0.25">
      <c r="E50">
        <f>0.5*1.67*353</f>
        <v>294.755</v>
      </c>
      <c r="F50">
        <f>0.5*4.19*353</f>
        <v>739.53500000000008</v>
      </c>
      <c r="G50">
        <f>+F50+E50</f>
        <v>1034.29</v>
      </c>
    </row>
    <row r="51" spans="5:33" x14ac:dyDescent="0.25">
      <c r="E51">
        <f>0.05*2.22*353</f>
        <v>39.183000000000007</v>
      </c>
      <c r="F51">
        <f>0.95*4.19*353</f>
        <v>1405.1165000000001</v>
      </c>
      <c r="G51">
        <f>+F51+E51</f>
        <v>1444.2995000000001</v>
      </c>
      <c r="AA51" s="12">
        <f>AA41*AA46</f>
        <v>870534</v>
      </c>
      <c r="AB51" s="12">
        <f t="shared" ref="AB51:AF51" si="6">AB41*AB46</f>
        <v>877245.60000000009</v>
      </c>
      <c r="AC51" s="12">
        <f t="shared" si="6"/>
        <v>867967.79999999993</v>
      </c>
      <c r="AD51" s="12">
        <f t="shared" si="6"/>
        <v>885141.60000000009</v>
      </c>
      <c r="AE51" s="12">
        <f t="shared" si="6"/>
        <v>865401.60000000009</v>
      </c>
      <c r="AF51" s="12">
        <f t="shared" si="6"/>
        <v>867276.9</v>
      </c>
      <c r="AG51">
        <f>AG41*AG46</f>
        <v>869547</v>
      </c>
    </row>
    <row r="52" spans="5:33" x14ac:dyDescent="0.25">
      <c r="AA52" s="12">
        <f>AA42*AA47</f>
        <v>562771.66666666674</v>
      </c>
      <c r="AB52" s="12">
        <f t="shared" ref="AB52:AF52" si="7">AB42*AB47</f>
        <v>533975</v>
      </c>
      <c r="AC52" s="12">
        <f t="shared" si="7"/>
        <v>621513.33333333337</v>
      </c>
      <c r="AD52" s="12">
        <f t="shared" si="7"/>
        <v>584325</v>
      </c>
      <c r="AE52" s="12">
        <f t="shared" si="7"/>
        <v>568977.08333333337</v>
      </c>
      <c r="AF52" s="12">
        <f t="shared" si="7"/>
        <v>537950</v>
      </c>
      <c r="AG52">
        <f>AG42*AG47</f>
        <v>908500</v>
      </c>
    </row>
    <row r="53" spans="5:33" x14ac:dyDescent="0.25">
      <c r="AA53" s="12">
        <f>AA43*AA48</f>
        <v>67500</v>
      </c>
      <c r="AB53" s="12">
        <f t="shared" ref="AB53:AF53" si="8">AB43*AB48</f>
        <v>69300</v>
      </c>
      <c r="AC53" s="12">
        <f t="shared" si="8"/>
        <v>66600</v>
      </c>
      <c r="AD53" s="12">
        <f t="shared" si="8"/>
        <v>65250</v>
      </c>
      <c r="AE53" s="12">
        <f t="shared" si="8"/>
        <v>75600</v>
      </c>
      <c r="AF53" s="12">
        <f t="shared" si="8"/>
        <v>75150</v>
      </c>
      <c r="AG53">
        <f>AG43*AG48</f>
        <v>18000</v>
      </c>
    </row>
    <row r="54" spans="5:33" x14ac:dyDescent="0.25">
      <c r="AA54" s="12">
        <f>SUM(AA51:AA53)</f>
        <v>1500805.6666666667</v>
      </c>
      <c r="AB54" s="12">
        <f>SUM(AB51:AB53)</f>
        <v>1480520.6</v>
      </c>
      <c r="AC54" s="12">
        <f t="shared" ref="AC54:AF54" si="9">SUM(AC51:AC53)</f>
        <v>1556081.1333333333</v>
      </c>
      <c r="AD54" s="12">
        <f t="shared" si="9"/>
        <v>1534716.6</v>
      </c>
      <c r="AE54" s="12">
        <f t="shared" si="9"/>
        <v>1509978.6833333336</v>
      </c>
      <c r="AF54" s="12">
        <f t="shared" si="9"/>
        <v>1480376.9</v>
      </c>
      <c r="AG54">
        <f>SUM(AG51:AG53)</f>
        <v>1796047</v>
      </c>
    </row>
    <row r="55" spans="5:33" x14ac:dyDescent="0.25">
      <c r="T55">
        <v>1000</v>
      </c>
      <c r="AA55" s="12">
        <f>+AA54-AA49</f>
        <v>160805.66666666674</v>
      </c>
      <c r="AB55" s="12">
        <f t="shared" ref="AB55:AF55" si="10">+AB54-AB49</f>
        <v>140520.60000000009</v>
      </c>
      <c r="AC55" s="12">
        <f t="shared" si="10"/>
        <v>216081.1333333333</v>
      </c>
      <c r="AD55" s="12">
        <f t="shared" si="10"/>
        <v>194716.60000000009</v>
      </c>
      <c r="AE55" s="12">
        <f t="shared" si="10"/>
        <v>169978.68333333358</v>
      </c>
      <c r="AF55" s="12">
        <f t="shared" si="10"/>
        <v>140376.89999999991</v>
      </c>
      <c r="AG55">
        <f>+AG54-AG49</f>
        <v>456047</v>
      </c>
    </row>
    <row r="56" spans="5:33" x14ac:dyDescent="0.25">
      <c r="AA56" s="12">
        <f>+AA55/2700</f>
        <v>59.55765432098768</v>
      </c>
      <c r="AB56" s="12">
        <f t="shared" ref="AB56:AF56" si="11">+AB55/2700</f>
        <v>52.0446666666667</v>
      </c>
      <c r="AC56" s="12">
        <f t="shared" si="11"/>
        <v>80.030049382716044</v>
      </c>
      <c r="AD56" s="12">
        <f t="shared" si="11"/>
        <v>72.117259259259299</v>
      </c>
      <c r="AE56" s="12">
        <f t="shared" si="11"/>
        <v>62.955067901234656</v>
      </c>
      <c r="AF56" s="12">
        <f t="shared" si="11"/>
        <v>51.991444444444411</v>
      </c>
      <c r="AG56" s="205">
        <f>+AG55/2700</f>
        <v>168.90629629629629</v>
      </c>
    </row>
    <row r="57" spans="5:33" x14ac:dyDescent="0.25">
      <c r="T57">
        <v>881</v>
      </c>
    </row>
    <row r="58" spans="5:33" x14ac:dyDescent="0.25">
      <c r="T58">
        <v>395</v>
      </c>
      <c r="AA58" s="201">
        <f>+AA56/AA32</f>
        <v>0.28044728137335273</v>
      </c>
      <c r="AB58" s="201">
        <f t="shared" ref="AB58:AF58" si="12">+AB56/AB32</f>
        <v>0.25828618693134836</v>
      </c>
      <c r="AC58" s="201">
        <f t="shared" si="12"/>
        <v>0.34123102351925544</v>
      </c>
      <c r="AD58" s="201">
        <f t="shared" si="12"/>
        <v>0.32706240026874966</v>
      </c>
      <c r="AE58" s="201">
        <f t="shared" si="12"/>
        <v>0.29321203757609776</v>
      </c>
      <c r="AF58" s="201">
        <f t="shared" si="12"/>
        <v>0.25611548987411042</v>
      </c>
      <c r="AG58" s="201">
        <f>+AG56/AG32</f>
        <v>0.53621046443268661</v>
      </c>
    </row>
    <row r="59" spans="5:33" x14ac:dyDescent="0.25">
      <c r="T59">
        <v>40</v>
      </c>
      <c r="AA59">
        <v>315</v>
      </c>
      <c r="AB59">
        <v>315</v>
      </c>
      <c r="AC59">
        <v>315</v>
      </c>
      <c r="AD59">
        <v>315</v>
      </c>
      <c r="AE59">
        <v>315</v>
      </c>
      <c r="AF59">
        <v>315</v>
      </c>
      <c r="AG59" s="201"/>
    </row>
    <row r="60" spans="5:33" x14ac:dyDescent="0.25">
      <c r="T60">
        <v>1340</v>
      </c>
      <c r="AB60">
        <v>1000</v>
      </c>
      <c r="AC60">
        <v>1000</v>
      </c>
      <c r="AD60">
        <v>1000</v>
      </c>
      <c r="AE60">
        <v>1000</v>
      </c>
      <c r="AF60">
        <v>1000</v>
      </c>
    </row>
    <row r="62" spans="5:33" x14ac:dyDescent="0.25">
      <c r="T62">
        <v>987</v>
      </c>
      <c r="AC62">
        <v>881</v>
      </c>
      <c r="AD62">
        <v>881</v>
      </c>
      <c r="AE62">
        <v>881</v>
      </c>
      <c r="AF62">
        <v>881</v>
      </c>
    </row>
    <row r="63" spans="5:33" x14ac:dyDescent="0.25">
      <c r="T63">
        <v>2650</v>
      </c>
      <c r="AC63">
        <v>395</v>
      </c>
      <c r="AD63">
        <v>395</v>
      </c>
      <c r="AE63">
        <v>395</v>
      </c>
      <c r="AF63">
        <v>395</v>
      </c>
    </row>
    <row r="64" spans="5:33" x14ac:dyDescent="0.25">
      <c r="T64">
        <v>450</v>
      </c>
      <c r="AC64">
        <v>40</v>
      </c>
      <c r="AD64">
        <v>40</v>
      </c>
      <c r="AE64">
        <v>40</v>
      </c>
      <c r="AF64">
        <v>40</v>
      </c>
    </row>
    <row r="65" spans="20:32" x14ac:dyDescent="0.25">
      <c r="AC65">
        <v>1340</v>
      </c>
      <c r="AD65">
        <v>1340</v>
      </c>
      <c r="AE65">
        <v>1340</v>
      </c>
      <c r="AF65">
        <v>1340</v>
      </c>
    </row>
    <row r="66" spans="20:32" x14ac:dyDescent="0.25">
      <c r="T66">
        <f>T55*T60</f>
        <v>1340000</v>
      </c>
    </row>
    <row r="67" spans="20:32" x14ac:dyDescent="0.25">
      <c r="AC67">
        <v>987</v>
      </c>
      <c r="AD67">
        <v>987</v>
      </c>
      <c r="AE67">
        <v>987</v>
      </c>
      <c r="AF67">
        <v>987</v>
      </c>
    </row>
    <row r="68" spans="20:32" x14ac:dyDescent="0.25">
      <c r="T68">
        <f>T57*T62</f>
        <v>869547</v>
      </c>
      <c r="AC68">
        <v>2300</v>
      </c>
      <c r="AD68">
        <v>2300</v>
      </c>
      <c r="AE68">
        <v>2300</v>
      </c>
      <c r="AF68">
        <v>2300</v>
      </c>
    </row>
    <row r="69" spans="20:32" x14ac:dyDescent="0.25">
      <c r="T69">
        <f>T58*T63</f>
        <v>1046750</v>
      </c>
      <c r="AC69">
        <v>450</v>
      </c>
      <c r="AD69">
        <v>450</v>
      </c>
      <c r="AE69">
        <v>450</v>
      </c>
      <c r="AF69">
        <v>450</v>
      </c>
    </row>
    <row r="70" spans="20:32" x14ac:dyDescent="0.25">
      <c r="T70">
        <f>T59*T64</f>
        <v>18000</v>
      </c>
    </row>
    <row r="71" spans="20:32" x14ac:dyDescent="0.25">
      <c r="T71">
        <f>SUM(T68:T70)</f>
        <v>1934297</v>
      </c>
      <c r="AC71">
        <f t="shared" ref="AC71:AF71" si="13">AC60*AC65</f>
        <v>1340000</v>
      </c>
      <c r="AD71">
        <f t="shared" si="13"/>
        <v>1340000</v>
      </c>
      <c r="AE71">
        <f t="shared" si="13"/>
        <v>1340000</v>
      </c>
      <c r="AF71">
        <f t="shared" si="13"/>
        <v>1340000</v>
      </c>
    </row>
    <row r="72" spans="20:32" x14ac:dyDescent="0.25">
      <c r="T72">
        <f>+T71-T66</f>
        <v>594297</v>
      </c>
    </row>
    <row r="73" spans="20:32" x14ac:dyDescent="0.25">
      <c r="T73">
        <f>+T72/2700</f>
        <v>220.11</v>
      </c>
      <c r="AC73">
        <f t="shared" ref="AC73:AF73" si="14">AC62*AC67</f>
        <v>869547</v>
      </c>
      <c r="AD73">
        <f t="shared" si="14"/>
        <v>869547</v>
      </c>
      <c r="AE73">
        <f t="shared" si="14"/>
        <v>869547</v>
      </c>
      <c r="AF73">
        <f t="shared" si="14"/>
        <v>869547</v>
      </c>
    </row>
    <row r="74" spans="20:32" x14ac:dyDescent="0.25">
      <c r="AC74">
        <f t="shared" ref="AC74:AF74" si="15">AC63*AC68</f>
        <v>908500</v>
      </c>
      <c r="AD74">
        <f t="shared" si="15"/>
        <v>908500</v>
      </c>
      <c r="AE74">
        <f t="shared" si="15"/>
        <v>908500</v>
      </c>
      <c r="AF74">
        <f t="shared" si="15"/>
        <v>908500</v>
      </c>
    </row>
    <row r="75" spans="20:32" x14ac:dyDescent="0.25">
      <c r="T75" s="201">
        <f>+T73/200</f>
        <v>1.1005500000000001</v>
      </c>
      <c r="AC75">
        <f t="shared" ref="AC75:AF75" si="16">AC64*AC69</f>
        <v>18000</v>
      </c>
      <c r="AD75">
        <f t="shared" si="16"/>
        <v>18000</v>
      </c>
      <c r="AE75">
        <f t="shared" si="16"/>
        <v>18000</v>
      </c>
      <c r="AF75">
        <f t="shared" si="16"/>
        <v>18000</v>
      </c>
    </row>
    <row r="76" spans="20:32" x14ac:dyDescent="0.25">
      <c r="AC76">
        <f t="shared" ref="AC76:AF76" si="17">SUM(AC73:AC75)</f>
        <v>1796047</v>
      </c>
      <c r="AD76">
        <f t="shared" si="17"/>
        <v>1796047</v>
      </c>
      <c r="AE76">
        <f t="shared" si="17"/>
        <v>1796047</v>
      </c>
      <c r="AF76">
        <f t="shared" si="17"/>
        <v>1796047</v>
      </c>
    </row>
    <row r="77" spans="20:32" x14ac:dyDescent="0.25">
      <c r="AC77">
        <f t="shared" ref="AC77:AF77" si="18">+AC76-AC71</f>
        <v>456047</v>
      </c>
      <c r="AD77">
        <f t="shared" si="18"/>
        <v>456047</v>
      </c>
      <c r="AE77">
        <f t="shared" si="18"/>
        <v>456047</v>
      </c>
      <c r="AF77">
        <f t="shared" si="18"/>
        <v>456047</v>
      </c>
    </row>
    <row r="78" spans="20:32" x14ac:dyDescent="0.25">
      <c r="AC78">
        <f t="shared" ref="AC78:AF78" si="19">+AC77/2700</f>
        <v>168.90629629629629</v>
      </c>
      <c r="AD78">
        <f t="shared" si="19"/>
        <v>168.90629629629629</v>
      </c>
      <c r="AE78">
        <f t="shared" si="19"/>
        <v>168.90629629629629</v>
      </c>
      <c r="AF78">
        <f t="shared" si="19"/>
        <v>168.90629629629629</v>
      </c>
    </row>
    <row r="80" spans="20:32" x14ac:dyDescent="0.25">
      <c r="AC80" s="201">
        <f t="shared" ref="AC80:AF80" si="20">+AC78/AC59</f>
        <v>0.53621046443268661</v>
      </c>
      <c r="AD80" s="201">
        <f t="shared" si="20"/>
        <v>0.53621046443268661</v>
      </c>
      <c r="AE80" s="201">
        <f t="shared" si="20"/>
        <v>0.53621046443268661</v>
      </c>
      <c r="AF80" s="201">
        <f t="shared" si="20"/>
        <v>0.53621046443268661</v>
      </c>
    </row>
  </sheetData>
  <mergeCells count="14">
    <mergeCell ref="A5:A7"/>
    <mergeCell ref="B5:B7"/>
    <mergeCell ref="C5:D5"/>
    <mergeCell ref="E5:F5"/>
    <mergeCell ref="G5:H5"/>
    <mergeCell ref="C6:C7"/>
    <mergeCell ref="E6:E7"/>
    <mergeCell ref="G6:G7"/>
    <mergeCell ref="Y30:AF30"/>
    <mergeCell ref="K5:L5"/>
    <mergeCell ref="K6:K7"/>
    <mergeCell ref="B9:B13"/>
    <mergeCell ref="I5:J5"/>
    <mergeCell ref="I6:I7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ECB6-AC59-4754-98FF-573EDD5F7A6D}">
  <dimension ref="A1:AB251"/>
  <sheetViews>
    <sheetView zoomScale="114" zoomScaleNormal="40" workbookViewId="0">
      <pane ySplit="3" topLeftCell="A76" activePane="bottomLeft" state="frozen"/>
      <selection pane="bottomLeft" activeCell="G102" sqref="G102"/>
    </sheetView>
  </sheetViews>
  <sheetFormatPr baseColWidth="10" defaultColWidth="12" defaultRowHeight="12" x14ac:dyDescent="0.25"/>
  <cols>
    <col min="1" max="1" width="32.5" style="216" bestFit="1" customWidth="1"/>
    <col min="2" max="2" width="13.625" style="216" bestFit="1" customWidth="1"/>
    <col min="3" max="3" width="15.125" style="216" bestFit="1" customWidth="1"/>
    <col min="4" max="6" width="14.375" style="216" bestFit="1" customWidth="1"/>
    <col min="7" max="7" width="12" style="216"/>
    <col min="8" max="8" width="14.375" style="216" bestFit="1" customWidth="1"/>
    <col min="9" max="9" width="12" style="216"/>
    <col min="10" max="10" width="33.5" style="216" bestFit="1" customWidth="1"/>
    <col min="11" max="12" width="12" style="216"/>
    <col min="13" max="13" width="26.875" style="216" customWidth="1"/>
    <col min="14" max="16" width="12" style="216"/>
    <col min="17" max="17" width="12.375" style="216" customWidth="1"/>
    <col min="18" max="18" width="12" style="216"/>
    <col min="19" max="19" width="12" style="216" customWidth="1"/>
    <col min="20" max="16384" width="12" style="216"/>
  </cols>
  <sheetData>
    <row r="1" spans="1:28" ht="12.6" thickBot="1" x14ac:dyDescent="0.3">
      <c r="O1" s="221">
        <v>30</v>
      </c>
      <c r="Q1" s="221">
        <v>40</v>
      </c>
      <c r="S1" s="221">
        <v>30</v>
      </c>
      <c r="U1" s="221">
        <v>24</v>
      </c>
      <c r="W1" s="221">
        <v>30</v>
      </c>
      <c r="Y1" s="221">
        <v>20</v>
      </c>
    </row>
    <row r="2" spans="1:28" ht="12.75" customHeight="1" thickBot="1" x14ac:dyDescent="0.3">
      <c r="A2" s="439" t="s">
        <v>464</v>
      </c>
      <c r="B2" s="439" t="s">
        <v>293</v>
      </c>
      <c r="C2" s="441" t="s">
        <v>294</v>
      </c>
      <c r="D2" s="442"/>
      <c r="E2" s="442"/>
      <c r="F2" s="442"/>
      <c r="G2" s="442"/>
      <c r="H2" s="443"/>
      <c r="M2" s="436" t="s">
        <v>527</v>
      </c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8"/>
    </row>
    <row r="3" spans="1:28" ht="12.6" thickBot="1" x14ac:dyDescent="0.3">
      <c r="A3" s="440"/>
      <c r="B3" s="440"/>
      <c r="C3" s="217" t="s">
        <v>393</v>
      </c>
      <c r="D3" s="217" t="s">
        <v>394</v>
      </c>
      <c r="E3" s="217" t="s">
        <v>395</v>
      </c>
      <c r="F3" s="217" t="s">
        <v>396</v>
      </c>
      <c r="G3" s="217" t="s">
        <v>397</v>
      </c>
      <c r="H3" s="217" t="s">
        <v>398</v>
      </c>
      <c r="J3" s="216" t="s">
        <v>513</v>
      </c>
      <c r="K3" s="216">
        <v>2703</v>
      </c>
      <c r="M3" s="218"/>
      <c r="N3" s="434" t="str">
        <f>+C3</f>
        <v>Planta A</v>
      </c>
      <c r="O3" s="435"/>
      <c r="P3" s="434" t="str">
        <f>+D3</f>
        <v>Planta B</v>
      </c>
      <c r="Q3" s="435"/>
      <c r="R3" s="434" t="str">
        <f>+E3</f>
        <v>Planta C</v>
      </c>
      <c r="S3" s="435"/>
      <c r="T3" s="434" t="str">
        <f>+F3</f>
        <v>Planta D</v>
      </c>
      <c r="U3" s="435"/>
      <c r="V3" s="434" t="str">
        <f>+G3</f>
        <v>Planta E</v>
      </c>
      <c r="W3" s="435"/>
      <c r="X3" s="434" t="str">
        <f>+H3</f>
        <v>Planta F</v>
      </c>
      <c r="Y3" s="435"/>
    </row>
    <row r="4" spans="1:28" ht="14.4" thickBot="1" x14ac:dyDescent="0.3">
      <c r="A4" s="219" t="s">
        <v>323</v>
      </c>
      <c r="B4" s="220" t="s">
        <v>421</v>
      </c>
      <c r="C4" s="221">
        <v>30</v>
      </c>
      <c r="D4" s="221">
        <v>40</v>
      </c>
      <c r="E4" s="221">
        <v>30</v>
      </c>
      <c r="F4" s="221">
        <v>24</v>
      </c>
      <c r="G4" s="221">
        <v>30</v>
      </c>
      <c r="H4" s="221">
        <v>20</v>
      </c>
      <c r="I4" s="216">
        <f>+SUM(C4:H4)</f>
        <v>174</v>
      </c>
      <c r="J4" s="216" t="s">
        <v>512</v>
      </c>
      <c r="K4" s="222">
        <v>2626</v>
      </c>
      <c r="M4" s="218" t="s">
        <v>528</v>
      </c>
      <c r="N4" s="223" t="s">
        <v>529</v>
      </c>
      <c r="O4" s="223" t="s">
        <v>531</v>
      </c>
      <c r="P4" s="223" t="s">
        <v>529</v>
      </c>
      <c r="Q4" s="223" t="s">
        <v>531</v>
      </c>
      <c r="R4" s="223" t="s">
        <v>529</v>
      </c>
      <c r="S4" s="223" t="s">
        <v>531</v>
      </c>
      <c r="T4" s="223" t="s">
        <v>529</v>
      </c>
      <c r="U4" s="223" t="s">
        <v>531</v>
      </c>
      <c r="V4" s="223" t="s">
        <v>529</v>
      </c>
      <c r="W4" s="223" t="s">
        <v>531</v>
      </c>
      <c r="X4" s="223" t="s">
        <v>529</v>
      </c>
      <c r="Y4" s="223" t="s">
        <v>531</v>
      </c>
    </row>
    <row r="5" spans="1:28" ht="14.4" thickBot="1" x14ac:dyDescent="0.3">
      <c r="A5" s="219" t="s">
        <v>325</v>
      </c>
      <c r="B5" s="220" t="s">
        <v>422</v>
      </c>
      <c r="C5" s="221">
        <v>153157</v>
      </c>
      <c r="D5" s="221">
        <v>206207</v>
      </c>
      <c r="E5" s="221">
        <v>177589</v>
      </c>
      <c r="F5" s="221">
        <v>131909</v>
      </c>
      <c r="G5" s="221">
        <v>75534</v>
      </c>
      <c r="H5" s="221">
        <v>38620</v>
      </c>
      <c r="I5" s="216">
        <f>+SUM(C5:H5)</f>
        <v>783016</v>
      </c>
      <c r="J5" s="216">
        <f>+I5/I4</f>
        <v>4500.0919540229888</v>
      </c>
      <c r="M5" s="255"/>
      <c r="N5" s="223" t="s">
        <v>530</v>
      </c>
      <c r="O5" s="223" t="s">
        <v>532</v>
      </c>
      <c r="P5" s="223" t="s">
        <v>530</v>
      </c>
      <c r="Q5" s="223" t="s">
        <v>532</v>
      </c>
      <c r="R5" s="223" t="s">
        <v>530</v>
      </c>
      <c r="S5" s="223" t="s">
        <v>532</v>
      </c>
      <c r="T5" s="223" t="s">
        <v>530</v>
      </c>
      <c r="U5" s="223" t="s">
        <v>532</v>
      </c>
      <c r="V5" s="223" t="s">
        <v>530</v>
      </c>
      <c r="W5" s="223" t="s">
        <v>532</v>
      </c>
      <c r="X5" s="223" t="s">
        <v>530</v>
      </c>
      <c r="Y5" s="223" t="s">
        <v>532</v>
      </c>
    </row>
    <row r="6" spans="1:28" ht="14.4" thickBot="1" x14ac:dyDescent="0.3">
      <c r="A6" s="219" t="s">
        <v>327</v>
      </c>
      <c r="B6" s="220" t="s">
        <v>423</v>
      </c>
      <c r="C6" s="221">
        <v>5105</v>
      </c>
      <c r="D6" s="221">
        <v>5155</v>
      </c>
      <c r="E6" s="221">
        <v>5920</v>
      </c>
      <c r="F6" s="221">
        <v>5496</v>
      </c>
      <c r="G6" s="221">
        <v>3147</v>
      </c>
      <c r="H6" s="221">
        <v>1931</v>
      </c>
      <c r="I6" s="216">
        <f>+SUM(C6:H6)</f>
        <v>26754</v>
      </c>
      <c r="M6" s="256" t="s">
        <v>46</v>
      </c>
      <c r="N6" s="257">
        <v>1</v>
      </c>
      <c r="O6" s="257"/>
      <c r="P6" s="257">
        <v>0.17</v>
      </c>
      <c r="Q6" s="257"/>
      <c r="R6" s="257"/>
      <c r="S6" s="257"/>
      <c r="T6" s="257">
        <f>+AA6*$T$23</f>
        <v>0.50410064392418008</v>
      </c>
      <c r="U6" s="257"/>
      <c r="V6" s="257">
        <v>0.2</v>
      </c>
      <c r="W6" s="257"/>
      <c r="X6" s="257">
        <f>AB6*$X$23</f>
        <v>0.43337099157034847</v>
      </c>
      <c r="Y6" s="257"/>
      <c r="Z6" s="249"/>
      <c r="AA6" s="251">
        <v>1.7750022673386625E-2</v>
      </c>
      <c r="AB6" s="241">
        <f>+AA6/$AA$23</f>
        <v>2.381159294342574E-2</v>
      </c>
    </row>
    <row r="7" spans="1:28" ht="14.4" thickBot="1" x14ac:dyDescent="0.3">
      <c r="A7" s="219" t="s">
        <v>329</v>
      </c>
      <c r="B7" s="220" t="s">
        <v>424</v>
      </c>
      <c r="C7" s="221">
        <v>20.71</v>
      </c>
      <c r="D7" s="221">
        <v>20.55</v>
      </c>
      <c r="E7" s="221">
        <v>19.68</v>
      </c>
      <c r="F7" s="221">
        <v>19.899999999999999</v>
      </c>
      <c r="G7" s="221">
        <v>20.77</v>
      </c>
      <c r="H7" s="221">
        <v>19.3</v>
      </c>
      <c r="I7" s="216">
        <f>+MEDIAN(C7:H7)</f>
        <v>20.225000000000001</v>
      </c>
      <c r="M7" s="256" t="s">
        <v>44</v>
      </c>
      <c r="N7" s="257">
        <v>0.08</v>
      </c>
      <c r="O7" s="257">
        <f>+C17</f>
        <v>4866.7361111111113</v>
      </c>
      <c r="P7" s="257">
        <v>0.12</v>
      </c>
      <c r="Q7" s="257">
        <f>+D17</f>
        <v>6156.9444444444443</v>
      </c>
      <c r="R7" s="257">
        <v>0.41</v>
      </c>
      <c r="S7" s="257">
        <f>+E23</f>
        <v>4588.25</v>
      </c>
      <c r="T7" s="257">
        <f>+AA7*$T$23</f>
        <v>0.22445357138229918</v>
      </c>
      <c r="U7" s="257">
        <f>+F23</f>
        <v>3681.7533333333336</v>
      </c>
      <c r="V7" s="257">
        <v>0.3</v>
      </c>
      <c r="W7" s="257">
        <f>+G23</f>
        <v>4559.8499999999995</v>
      </c>
      <c r="X7" s="257">
        <f>AB7*$X$23</f>
        <v>0.19296080646562963</v>
      </c>
      <c r="Y7" s="257">
        <f>+H17</f>
        <v>3101.3888888888887</v>
      </c>
      <c r="Z7" s="249">
        <f>+Y7+W7+U7+S7+Q7+O7</f>
        <v>26954.922777777778</v>
      </c>
      <c r="AA7" s="251">
        <v>7.9032947669823665E-3</v>
      </c>
      <c r="AB7" s="241">
        <f>+AA7/$AA$23</f>
        <v>1.0602242113496134E-2</v>
      </c>
    </row>
    <row r="8" spans="1:28" ht="14.4" thickBot="1" x14ac:dyDescent="0.3">
      <c r="A8" s="219" t="s">
        <v>331</v>
      </c>
      <c r="B8" s="220" t="s">
        <v>425</v>
      </c>
      <c r="C8" s="221">
        <v>31719</v>
      </c>
      <c r="D8" s="221">
        <v>42376</v>
      </c>
      <c r="E8" s="221">
        <v>34950</v>
      </c>
      <c r="F8" s="221">
        <v>26250</v>
      </c>
      <c r="G8" s="221">
        <v>15688</v>
      </c>
      <c r="H8" s="221">
        <v>7454</v>
      </c>
      <c r="I8" s="216">
        <v>18</v>
      </c>
      <c r="M8" s="256" t="s">
        <v>429</v>
      </c>
      <c r="N8" s="257">
        <v>0.7</v>
      </c>
      <c r="O8" s="257"/>
      <c r="P8" s="257">
        <v>0.8</v>
      </c>
      <c r="Q8" s="257"/>
      <c r="R8" s="257">
        <v>0.61</v>
      </c>
      <c r="S8" s="257"/>
      <c r="T8" s="257">
        <f>+AA8*$T$23</f>
        <v>0.67336071414689758</v>
      </c>
      <c r="U8" s="257"/>
      <c r="V8" s="257">
        <v>0.6</v>
      </c>
      <c r="W8" s="257"/>
      <c r="X8" s="257">
        <f>AB8*$X$23</f>
        <v>0.57888241939688878</v>
      </c>
      <c r="Y8" s="257"/>
      <c r="Z8" s="249"/>
      <c r="AA8" s="251">
        <v>2.3709884300947098E-2</v>
      </c>
      <c r="AB8" s="241">
        <f>+AA8/$AA$23</f>
        <v>3.1806726340488395E-2</v>
      </c>
    </row>
    <row r="9" spans="1:28" ht="12.6" thickBot="1" x14ac:dyDescent="0.3">
      <c r="A9" s="219"/>
      <c r="B9" s="220"/>
      <c r="C9" s="240"/>
      <c r="D9" s="240"/>
      <c r="E9" s="240"/>
      <c r="F9" s="240"/>
      <c r="G9" s="240"/>
      <c r="H9" s="240"/>
      <c r="M9" s="256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49"/>
      <c r="AA9" s="251"/>
      <c r="AB9" s="241"/>
    </row>
    <row r="10" spans="1:28" ht="14.4" thickBot="1" x14ac:dyDescent="0.3">
      <c r="A10" s="219" t="s">
        <v>333</v>
      </c>
      <c r="B10" s="220" t="s">
        <v>426</v>
      </c>
      <c r="C10" s="221">
        <v>7636</v>
      </c>
      <c r="D10" s="221">
        <v>10292</v>
      </c>
      <c r="E10" s="221">
        <v>7926</v>
      </c>
      <c r="F10" s="221">
        <v>5576</v>
      </c>
      <c r="G10" s="221">
        <v>2803</v>
      </c>
      <c r="H10" s="221">
        <v>2177</v>
      </c>
      <c r="M10" s="256" t="s">
        <v>538</v>
      </c>
      <c r="N10" s="252">
        <v>1.17</v>
      </c>
      <c r="O10" s="265"/>
      <c r="P10" s="252">
        <v>1.22</v>
      </c>
      <c r="Q10" s="265"/>
      <c r="R10" s="265"/>
      <c r="S10" s="265"/>
      <c r="T10" s="257">
        <f>+AA10*$T$23</f>
        <v>1.3191246777140042</v>
      </c>
      <c r="U10" s="265"/>
      <c r="V10" s="252">
        <v>1.1000000000000001</v>
      </c>
      <c r="W10" s="265"/>
      <c r="X10" s="257"/>
      <c r="Y10" s="265"/>
      <c r="Z10" s="249"/>
      <c r="AA10" s="251">
        <v>4.6448052032183246E-2</v>
      </c>
      <c r="AB10" s="241">
        <f>+AA10/$AA$23</f>
        <v>6.2309898322760057E-2</v>
      </c>
    </row>
    <row r="11" spans="1:28" ht="12.6" thickBot="1" x14ac:dyDescent="0.3">
      <c r="A11" s="219" t="s">
        <v>335</v>
      </c>
      <c r="B11" s="220" t="s">
        <v>314</v>
      </c>
      <c r="C11" s="221">
        <v>6.38</v>
      </c>
      <c r="D11" s="221">
        <v>7.24</v>
      </c>
      <c r="E11" s="221">
        <v>6.78</v>
      </c>
      <c r="F11" s="221">
        <v>4.5</v>
      </c>
      <c r="G11" s="221">
        <v>6.74</v>
      </c>
      <c r="H11" s="221">
        <v>4.04</v>
      </c>
      <c r="M11" s="256" t="s">
        <v>533</v>
      </c>
      <c r="N11" s="257">
        <v>3.35</v>
      </c>
      <c r="O11" s="257">
        <f>+C45</f>
        <v>2163.3333333333335</v>
      </c>
      <c r="P11" s="257">
        <v>2.95</v>
      </c>
      <c r="Q11" s="257">
        <f>+D45</f>
        <v>2691.9444444444448</v>
      </c>
      <c r="R11" s="257">
        <v>4.7699999999999996</v>
      </c>
      <c r="S11" s="257">
        <f>+E45</f>
        <v>1937.9861111111113</v>
      </c>
      <c r="T11" s="257">
        <f>+AA11*$T$23</f>
        <v>4.5589831957814537</v>
      </c>
      <c r="U11" s="257">
        <f>+F45</f>
        <v>1990.6944444444446</v>
      </c>
      <c r="V11" s="257">
        <v>5.45</v>
      </c>
      <c r="W11" s="257">
        <f>+G45</f>
        <v>1614.0972222222224</v>
      </c>
      <c r="X11" s="257">
        <f>AB11*$X$23</f>
        <v>3.9193186755887721</v>
      </c>
      <c r="Y11" s="257">
        <f>+H45</f>
        <v>1379.5833333333335</v>
      </c>
      <c r="Z11" s="249">
        <f>+Y11+W11+U11+S11+Q11+O11</f>
        <v>11777.638888888891</v>
      </c>
      <c r="AA11" s="251">
        <v>0.16052757731624839</v>
      </c>
      <c r="AB11" s="241">
        <f>+AA11/$AA$23</f>
        <v>0.21534717997740507</v>
      </c>
    </row>
    <row r="12" spans="1:28" ht="12.6" thickBot="1" x14ac:dyDescent="0.3">
      <c r="A12" s="441" t="s">
        <v>44</v>
      </c>
      <c r="B12" s="442"/>
      <c r="C12" s="442"/>
      <c r="D12" s="442"/>
      <c r="E12" s="442"/>
      <c r="F12" s="442"/>
      <c r="G12" s="442"/>
      <c r="H12" s="443"/>
      <c r="M12" s="256" t="s">
        <v>50</v>
      </c>
      <c r="N12" s="257">
        <v>2.4500000000000002</v>
      </c>
      <c r="O12" s="257">
        <v>535</v>
      </c>
      <c r="P12" s="257">
        <v>2.35</v>
      </c>
      <c r="Q12" s="257">
        <f>+D73</f>
        <v>857.08333333333337</v>
      </c>
      <c r="R12" s="257">
        <f>1.11+0.58+0.13</f>
        <v>1.8199999999999998</v>
      </c>
      <c r="S12" s="257">
        <f>+E73</f>
        <v>408.68055555555554</v>
      </c>
      <c r="T12" s="257">
        <f>+AA12*$T$23</f>
        <v>2.9749297125014578</v>
      </c>
      <c r="U12" s="257">
        <f>+F73</f>
        <v>521.73611111111109</v>
      </c>
      <c r="V12" s="257">
        <f>2.97+1.19</f>
        <v>4.16</v>
      </c>
      <c r="W12" s="257">
        <f>+G73</f>
        <v>391.875</v>
      </c>
      <c r="X12" s="257">
        <f>AB12*$X$23</f>
        <v>2.5575215086469107</v>
      </c>
      <c r="Y12" s="257">
        <f>+H73</f>
        <v>311.66666666666669</v>
      </c>
      <c r="Z12" s="249">
        <f t="shared" ref="Z12:Z14" si="0">+Y12+W12+U12+S12+Q12+O12</f>
        <v>3026.041666666667</v>
      </c>
      <c r="AA12" s="251">
        <v>0.10475104621484006</v>
      </c>
      <c r="AB12" s="241">
        <f>+AA12/$AA$23</f>
        <v>0.14052315981576433</v>
      </c>
    </row>
    <row r="13" spans="1:28" ht="14.4" thickBot="1" x14ac:dyDescent="0.3">
      <c r="A13" s="225" t="s">
        <v>509</v>
      </c>
      <c r="B13" s="220" t="s">
        <v>510</v>
      </c>
      <c r="C13" s="226">
        <f t="shared" ref="C13:H13" si="1">+C4*1000</f>
        <v>30000</v>
      </c>
      <c r="D13" s="226">
        <f t="shared" si="1"/>
        <v>40000</v>
      </c>
      <c r="E13" s="226">
        <f t="shared" si="1"/>
        <v>30000</v>
      </c>
      <c r="F13" s="226">
        <f t="shared" si="1"/>
        <v>24000</v>
      </c>
      <c r="G13" s="226">
        <f t="shared" si="1"/>
        <v>30000</v>
      </c>
      <c r="H13" s="226">
        <f t="shared" si="1"/>
        <v>20000</v>
      </c>
      <c r="I13" s="226">
        <v>40000</v>
      </c>
      <c r="M13" s="256" t="s">
        <v>64</v>
      </c>
      <c r="N13" s="257">
        <f>3+2.62</f>
        <v>5.62</v>
      </c>
      <c r="O13" s="254">
        <f>+C110</f>
        <v>1233.6805555555557</v>
      </c>
      <c r="P13" s="257">
        <v>3.95</v>
      </c>
      <c r="Q13" s="254">
        <f>+D110</f>
        <v>1647.7083333333335</v>
      </c>
      <c r="R13" s="257">
        <v>5.89</v>
      </c>
      <c r="S13" s="254">
        <f>+E110</f>
        <v>1188.6111111111113</v>
      </c>
      <c r="T13" s="257">
        <f>+AA13*$T$23</f>
        <v>5.4034437635230557</v>
      </c>
      <c r="U13" s="252">
        <f>+F110</f>
        <v>931.94444444444457</v>
      </c>
      <c r="V13" s="257">
        <v>4.12</v>
      </c>
      <c r="W13" s="252">
        <f>+G110</f>
        <v>982.3611111111112</v>
      </c>
      <c r="X13" s="257">
        <f>AB13*$X$23</f>
        <v>4.6452941687668377</v>
      </c>
      <c r="Y13" s="252">
        <f>+H110</f>
        <v>757.77777777777783</v>
      </c>
      <c r="Z13" s="249">
        <f t="shared" si="0"/>
        <v>6742.0833333333348</v>
      </c>
      <c r="AA13" s="251">
        <v>0.19026210434940338</v>
      </c>
      <c r="AB13" s="241">
        <f>+AA13/$AA$23</f>
        <v>0.25523594333883726</v>
      </c>
    </row>
    <row r="14" spans="1:28" ht="14.4" thickBot="1" x14ac:dyDescent="0.3">
      <c r="A14" s="454" t="s">
        <v>336</v>
      </c>
      <c r="B14" s="220" t="s">
        <v>427</v>
      </c>
      <c r="C14" s="221">
        <v>6371</v>
      </c>
      <c r="D14" s="221">
        <v>8060</v>
      </c>
      <c r="E14" s="221">
        <v>7036</v>
      </c>
      <c r="F14" s="221">
        <v>5292</v>
      </c>
      <c r="G14" s="221">
        <v>5153</v>
      </c>
      <c r="H14" s="221">
        <v>4060</v>
      </c>
      <c r="I14" s="221">
        <f>315*40</f>
        <v>12600</v>
      </c>
      <c r="M14" s="256" t="s">
        <v>57</v>
      </c>
      <c r="N14" s="257">
        <v>0.02</v>
      </c>
      <c r="O14" s="257">
        <f>+C92</f>
        <v>1156.5277777777778</v>
      </c>
      <c r="P14" s="257">
        <v>0.02</v>
      </c>
      <c r="Q14" s="257">
        <f>+D92</f>
        <v>1299.375</v>
      </c>
      <c r="R14" s="257">
        <v>0.02</v>
      </c>
      <c r="S14" s="257">
        <f>+E92</f>
        <v>1090.0694444444443</v>
      </c>
      <c r="T14" s="257">
        <f>+AA14*$T$23</f>
        <v>2.2077400463832709E-2</v>
      </c>
      <c r="U14" s="257">
        <f>+F92</f>
        <v>860.90277777777783</v>
      </c>
      <c r="V14" s="257">
        <v>0.02</v>
      </c>
      <c r="W14" s="257">
        <f>+G92</f>
        <v>840.27777777777783</v>
      </c>
      <c r="X14" s="257">
        <f>AB14*$X$23</f>
        <v>1.8979751455635702E-2</v>
      </c>
      <c r="Y14" s="257">
        <f>+H92</f>
        <v>711.94444444444446</v>
      </c>
      <c r="Z14" s="249">
        <f t="shared" si="0"/>
        <v>5959.0972222222226</v>
      </c>
      <c r="AA14" s="251">
        <v>7.7737325576875734E-4</v>
      </c>
      <c r="AB14" s="241">
        <f>+AA14/$AA$23</f>
        <v>1.0428434865733902E-3</v>
      </c>
    </row>
    <row r="15" spans="1:28" ht="13.8" thickBot="1" x14ac:dyDescent="0.3">
      <c r="A15" s="456"/>
      <c r="B15" s="220" t="s">
        <v>603</v>
      </c>
      <c r="C15" s="245">
        <f>+C14*2750/3600</f>
        <v>4866.7361111111113</v>
      </c>
      <c r="D15" s="245">
        <f t="shared" ref="D15:I15" si="2">+D14*2750/3600</f>
        <v>6156.9444444444443</v>
      </c>
      <c r="E15" s="245">
        <f t="shared" si="2"/>
        <v>5374.7222222222226</v>
      </c>
      <c r="F15" s="245">
        <f t="shared" si="2"/>
        <v>4042.5</v>
      </c>
      <c r="G15" s="245">
        <f t="shared" si="2"/>
        <v>3936.3194444444443</v>
      </c>
      <c r="H15" s="245">
        <f t="shared" si="2"/>
        <v>3101.3888888888887</v>
      </c>
      <c r="I15" s="245">
        <f t="shared" si="2"/>
        <v>9625</v>
      </c>
      <c r="M15" s="256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49"/>
      <c r="AA15" s="251"/>
      <c r="AB15" s="241"/>
    </row>
    <row r="16" spans="1:28" ht="14.4" thickBot="1" x14ac:dyDescent="0.3">
      <c r="A16" s="456"/>
      <c r="B16" s="220" t="s">
        <v>501</v>
      </c>
      <c r="C16" s="228">
        <f>+C14/C4</f>
        <v>212.36666666666667</v>
      </c>
      <c r="D16" s="228">
        <f>+D14/D4</f>
        <v>201.5</v>
      </c>
      <c r="E16" s="228">
        <f>+E14/E4</f>
        <v>234.53333333333333</v>
      </c>
      <c r="F16" s="228">
        <f>+F14/F4</f>
        <v>220.5</v>
      </c>
      <c r="G16" s="228">
        <f>+G14/G4</f>
        <v>171.76666666666668</v>
      </c>
      <c r="H16" s="228">
        <v>225</v>
      </c>
      <c r="I16" s="228">
        <v>315</v>
      </c>
      <c r="M16" s="256"/>
      <c r="N16" s="258"/>
      <c r="O16" s="258"/>
      <c r="P16" s="258"/>
      <c r="Q16" s="258"/>
      <c r="R16" s="258"/>
      <c r="S16" s="258"/>
      <c r="T16" s="259"/>
      <c r="U16" s="258"/>
      <c r="V16" s="258"/>
      <c r="W16" s="258"/>
      <c r="X16" s="259"/>
      <c r="Y16" s="258"/>
      <c r="Z16" s="249"/>
      <c r="AA16" s="251"/>
      <c r="AB16" s="241"/>
    </row>
    <row r="17" spans="1:28" ht="14.4" thickBot="1" x14ac:dyDescent="0.3">
      <c r="A17" s="456"/>
      <c r="B17" s="220" t="s">
        <v>555</v>
      </c>
      <c r="C17" s="254">
        <f>C14*2750/3600</f>
        <v>4866.7361111111113</v>
      </c>
      <c r="D17" s="254">
        <f t="shared" ref="D17:I17" si="3">D14*2750/3600</f>
        <v>6156.9444444444443</v>
      </c>
      <c r="E17" s="254">
        <f t="shared" si="3"/>
        <v>5374.7222222222226</v>
      </c>
      <c r="F17" s="254">
        <f t="shared" si="3"/>
        <v>4042.5</v>
      </c>
      <c r="G17" s="254">
        <f t="shared" si="3"/>
        <v>3936.3194444444443</v>
      </c>
      <c r="H17" s="254">
        <f t="shared" si="3"/>
        <v>3101.3888888888887</v>
      </c>
      <c r="I17" s="254">
        <f t="shared" si="3"/>
        <v>9625</v>
      </c>
      <c r="M17" s="256"/>
      <c r="N17" s="258"/>
      <c r="O17" s="258"/>
      <c r="P17" s="258"/>
      <c r="Q17" s="258"/>
      <c r="R17" s="258"/>
      <c r="S17" s="258"/>
      <c r="T17" s="259"/>
      <c r="U17" s="258"/>
      <c r="V17" s="258"/>
      <c r="W17" s="258"/>
      <c r="X17" s="259"/>
      <c r="Y17" s="258"/>
      <c r="Z17" s="249"/>
      <c r="AA17" s="251"/>
      <c r="AB17" s="241"/>
    </row>
    <row r="18" spans="1:28" ht="12.6" thickBot="1" x14ac:dyDescent="0.3">
      <c r="A18" s="455"/>
      <c r="M18" s="256" t="s">
        <v>534</v>
      </c>
      <c r="N18" s="258">
        <v>5.24</v>
      </c>
      <c r="O18" s="258"/>
      <c r="P18" s="258"/>
      <c r="Q18" s="258"/>
      <c r="R18" s="258">
        <v>5.75</v>
      </c>
      <c r="S18" s="258"/>
      <c r="T18" s="259"/>
      <c r="U18" s="258"/>
      <c r="V18" s="257">
        <f>66.6*(13/100)</f>
        <v>8.6579999999999995</v>
      </c>
      <c r="W18" s="258"/>
      <c r="X18" s="259">
        <f>AB18*$X$23</f>
        <v>0</v>
      </c>
      <c r="Y18" s="258"/>
      <c r="Z18" s="249"/>
      <c r="AA18" s="251"/>
      <c r="AB18" s="241">
        <f>+AA18/$AA$23</f>
        <v>0</v>
      </c>
    </row>
    <row r="19" spans="1:28" ht="12.6" thickBot="1" x14ac:dyDescent="0.3">
      <c r="A19" s="219" t="s">
        <v>338</v>
      </c>
      <c r="B19" s="220" t="s">
        <v>314</v>
      </c>
      <c r="C19" s="229">
        <v>0.11799999999999999</v>
      </c>
      <c r="D19" s="229">
        <v>0.11119999999999999</v>
      </c>
      <c r="E19" s="229">
        <v>0.1206</v>
      </c>
      <c r="F19" s="229">
        <v>0.1032</v>
      </c>
      <c r="G19" s="229">
        <v>0.1232</v>
      </c>
      <c r="H19" s="229">
        <v>0.121</v>
      </c>
      <c r="I19" s="229">
        <v>0.11899999999999999</v>
      </c>
      <c r="M19" s="256" t="s">
        <v>535</v>
      </c>
      <c r="N19" s="258"/>
      <c r="O19" s="259">
        <f>+C141</f>
        <v>1672.127906976744</v>
      </c>
      <c r="P19" s="258"/>
      <c r="Q19" s="259">
        <f>+D141</f>
        <v>2301.0180878552969</v>
      </c>
      <c r="R19" s="258"/>
      <c r="S19" s="259">
        <f>+E141</f>
        <v>2986.2015503875969</v>
      </c>
      <c r="T19" s="259"/>
      <c r="U19" s="259">
        <f>+F141</f>
        <v>1193.3209302325583</v>
      </c>
      <c r="V19" s="257"/>
      <c r="W19" s="259">
        <f>+G141</f>
        <v>1935.2325581395348</v>
      </c>
      <c r="X19" s="259">
        <f>AB19*$X$23</f>
        <v>0</v>
      </c>
      <c r="Y19" s="259">
        <f>+H141</f>
        <v>1174.1860465116279</v>
      </c>
      <c r="Z19" s="249">
        <f t="shared" ref="Z19" si="4">AVERAGE(Y19,W19,U19,S19,Q19,O19)</f>
        <v>1877.0145133505596</v>
      </c>
      <c r="AA19" s="251">
        <v>0</v>
      </c>
      <c r="AB19" s="241">
        <f>+AA19/$AA$23</f>
        <v>0</v>
      </c>
    </row>
    <row r="20" spans="1:28" ht="14.4" thickBot="1" x14ac:dyDescent="0.3">
      <c r="A20" s="454" t="s">
        <v>339</v>
      </c>
      <c r="B20" s="220" t="s">
        <v>428</v>
      </c>
      <c r="C20" s="221">
        <v>4170</v>
      </c>
      <c r="D20" s="221">
        <v>5386</v>
      </c>
      <c r="E20" s="221">
        <v>4348</v>
      </c>
      <c r="F20" s="221">
        <v>3304</v>
      </c>
      <c r="G20" s="221">
        <v>3317</v>
      </c>
      <c r="H20" s="221">
        <v>2310</v>
      </c>
      <c r="I20" s="221">
        <f>+I22*I13/1000</f>
        <v>1560</v>
      </c>
      <c r="M20" s="256" t="s">
        <v>53</v>
      </c>
      <c r="N20" s="258">
        <v>5.19</v>
      </c>
      <c r="O20" s="260">
        <f>+C160</f>
        <v>303</v>
      </c>
      <c r="P20" s="261">
        <v>2.95</v>
      </c>
      <c r="Q20" s="260">
        <f>+E160</f>
        <v>303</v>
      </c>
      <c r="R20" s="258">
        <v>2.2999999999999998</v>
      </c>
      <c r="S20" s="260">
        <f>+E160</f>
        <v>303</v>
      </c>
      <c r="T20" s="259">
        <f>+AA20*$T$23</f>
        <v>4.4265187929984577</v>
      </c>
      <c r="U20" s="260">
        <f>+F160</f>
        <v>303</v>
      </c>
      <c r="V20" s="257">
        <v>5.6</v>
      </c>
      <c r="W20" s="260">
        <f>+G160</f>
        <v>303</v>
      </c>
      <c r="X20" s="259">
        <f>AB20*$X$23</f>
        <v>3.8054401668549573</v>
      </c>
      <c r="Y20" s="260">
        <f>+H160</f>
        <v>303</v>
      </c>
      <c r="Z20" s="249">
        <f>+O20+Q20+S20+U20+W20+Y20</f>
        <v>1818</v>
      </c>
      <c r="AA20" s="251">
        <v>0.15586333778163583</v>
      </c>
      <c r="AB20" s="241">
        <f>+AA20/$AA$23</f>
        <v>0.20909011905796471</v>
      </c>
    </row>
    <row r="21" spans="1:28" ht="12.6" thickBot="1" x14ac:dyDescent="0.3">
      <c r="A21" s="456"/>
      <c r="B21" s="220"/>
      <c r="C21" s="246"/>
      <c r="D21" s="246"/>
      <c r="E21" s="246"/>
      <c r="F21" s="246"/>
      <c r="G21" s="246"/>
      <c r="H21" s="246"/>
      <c r="I21" s="246"/>
      <c r="M21" s="256"/>
      <c r="N21" s="258"/>
      <c r="O21" s="266">
        <f>+O11/O23</f>
        <v>0.18605468769098046</v>
      </c>
      <c r="P21" s="261"/>
      <c r="Q21" s="266">
        <f>+Q11/Q23</f>
        <v>0.18001412248164128</v>
      </c>
      <c r="R21" s="258"/>
      <c r="S21" s="266">
        <f>+S11/S23</f>
        <v>0.15885394072746095</v>
      </c>
      <c r="T21" s="259"/>
      <c r="U21" s="266">
        <f>+U11/U23</f>
        <v>0.21684293102044042</v>
      </c>
      <c r="V21" s="257"/>
      <c r="W21" s="266">
        <f>+W11/W23</f>
        <v>0.15634881021604188</v>
      </c>
      <c r="X21" s="259"/>
      <c r="Y21" s="266">
        <f>+Y11/Y23</f>
        <v>0.185513962877141</v>
      </c>
      <c r="Z21" s="237">
        <f>+Z23+Z7</f>
        <v>26969.749467974576</v>
      </c>
      <c r="AA21" s="251"/>
      <c r="AB21" s="241"/>
    </row>
    <row r="22" spans="1:28" ht="14.4" thickBot="1" x14ac:dyDescent="0.3">
      <c r="A22" s="455"/>
      <c r="B22" s="220" t="s">
        <v>501</v>
      </c>
      <c r="C22" s="230">
        <f t="shared" ref="C22:H22" si="5">+C20/C4</f>
        <v>139</v>
      </c>
      <c r="D22" s="230">
        <f t="shared" si="5"/>
        <v>134.65</v>
      </c>
      <c r="E22" s="230">
        <f t="shared" si="5"/>
        <v>144.93333333333334</v>
      </c>
      <c r="F22" s="230">
        <f t="shared" si="5"/>
        <v>137.66666666666666</v>
      </c>
      <c r="G22" s="230">
        <f t="shared" si="5"/>
        <v>110.56666666666666</v>
      </c>
      <c r="H22" s="230">
        <f t="shared" si="5"/>
        <v>115.5</v>
      </c>
      <c r="I22" s="230">
        <v>39</v>
      </c>
      <c r="M22" s="256" t="s">
        <v>537</v>
      </c>
      <c r="N22" s="250">
        <v>0.93</v>
      </c>
      <c r="O22" s="250"/>
      <c r="P22" s="258">
        <v>1.91</v>
      </c>
      <c r="Q22" s="250"/>
      <c r="R22" s="250">
        <v>0.05</v>
      </c>
      <c r="S22" s="250"/>
      <c r="T22" s="259">
        <f>+AA22*$T$23</f>
        <v>1.063394789007942</v>
      </c>
      <c r="U22" s="250"/>
      <c r="V22" s="252"/>
      <c r="W22" s="250"/>
      <c r="X22" s="259">
        <f>AB22*$X$23</f>
        <v>0.9141913617797861</v>
      </c>
      <c r="Y22" s="250"/>
      <c r="Z22" s="249"/>
      <c r="AA22" s="251">
        <v>3.7443478486195142E-2</v>
      </c>
      <c r="AB22" s="241">
        <f>+AA22/$AA$23</f>
        <v>5.0230294603284951E-2</v>
      </c>
    </row>
    <row r="23" spans="1:28" ht="14.4" thickBot="1" x14ac:dyDescent="0.3">
      <c r="A23" s="452" t="s">
        <v>473</v>
      </c>
      <c r="B23" s="220" t="s">
        <v>427</v>
      </c>
      <c r="C23" s="230">
        <f>+(150*C4)+C16-((0.15-C19)*C4)-C22</f>
        <v>4572.4066666666668</v>
      </c>
      <c r="D23" s="230">
        <f>+(150*D4)+D16-(0.045*D4)-D22</f>
        <v>6065.05</v>
      </c>
      <c r="E23" s="230">
        <f>+(150*E4)+E16-(0.045*E4)-E22</f>
        <v>4588.25</v>
      </c>
      <c r="F23" s="230">
        <f>+(150*F4)+F16-(0.045*F4)-F22</f>
        <v>3681.7533333333336</v>
      </c>
      <c r="G23" s="230">
        <f>+(150*G4)+G16-(0.045*G4)-G22</f>
        <v>4559.8499999999995</v>
      </c>
      <c r="H23" s="230">
        <f>+(150*H4)+H16-(0.045*H4)-H22</f>
        <v>3108.6</v>
      </c>
      <c r="I23" s="230">
        <f>+I24*40</f>
        <v>15800</v>
      </c>
      <c r="J23" s="232"/>
      <c r="M23" s="256" t="s">
        <v>45</v>
      </c>
      <c r="N23" s="258">
        <f>SUM(N6:N22)</f>
        <v>25.750000000000004</v>
      </c>
      <c r="O23" s="260">
        <f>+(SUM(O7:O19))</f>
        <v>11627.405684754522</v>
      </c>
      <c r="P23" s="258">
        <f>SUM(P6:P22)</f>
        <v>16.439999999999998</v>
      </c>
      <c r="Q23" s="260">
        <f>+(SUM(Q7:Q19))</f>
        <v>14954.073643410853</v>
      </c>
      <c r="R23" s="258">
        <f>SUM(R6:R22)</f>
        <v>21.62</v>
      </c>
      <c r="S23" s="260">
        <f>+(SUM(S7:S19))</f>
        <v>12199.79877260982</v>
      </c>
      <c r="T23" s="258">
        <v>28.4</v>
      </c>
      <c r="U23" s="260">
        <f>+(SUM(U7:U19))</f>
        <v>9180.352041343669</v>
      </c>
      <c r="V23" s="257">
        <f>SUM(V6:V22)</f>
        <v>30.207999999999998</v>
      </c>
      <c r="W23" s="260">
        <f>+(SUM(W7:W19))</f>
        <v>10323.693669250646</v>
      </c>
      <c r="X23" s="258">
        <v>18.2</v>
      </c>
      <c r="Y23" s="260">
        <f>+(SUM(Y7:Y19))</f>
        <v>7436.5471576227401</v>
      </c>
      <c r="Z23" s="264">
        <f>+Z7/Z20</f>
        <v>14.826690196797458</v>
      </c>
      <c r="AA23" s="253">
        <f>SUM(AA6:AA22)</f>
        <v>0.74543617117759087</v>
      </c>
      <c r="AB23" s="241">
        <f>+AA23/$AA$23</f>
        <v>1</v>
      </c>
    </row>
    <row r="24" spans="1:28" ht="14.4" thickBot="1" x14ac:dyDescent="0.3">
      <c r="A24" s="453"/>
      <c r="B24" s="220" t="s">
        <v>501</v>
      </c>
      <c r="C24" s="230">
        <f t="shared" ref="C24:H24" si="6">+C23/C4</f>
        <v>152.41355555555555</v>
      </c>
      <c r="D24" s="230">
        <f t="shared" si="6"/>
        <v>151.62625</v>
      </c>
      <c r="E24" s="230">
        <f t="shared" si="6"/>
        <v>152.94166666666666</v>
      </c>
      <c r="F24" s="230">
        <f t="shared" si="6"/>
        <v>153.4063888888889</v>
      </c>
      <c r="G24" s="230">
        <f t="shared" si="6"/>
        <v>151.99499999999998</v>
      </c>
      <c r="H24" s="230">
        <f t="shared" si="6"/>
        <v>155.43</v>
      </c>
      <c r="I24" s="230">
        <v>395</v>
      </c>
      <c r="J24" s="233"/>
      <c r="M24" s="224" t="s">
        <v>536</v>
      </c>
      <c r="N24" s="457">
        <f>+C199</f>
        <v>0.21366300793112306</v>
      </c>
      <c r="O24" s="458"/>
      <c r="P24" s="457">
        <f>+D199</f>
        <v>0.155220869242748</v>
      </c>
      <c r="Q24" s="458"/>
      <c r="R24" s="457">
        <f>+E199</f>
        <v>0.17340123260473184</v>
      </c>
      <c r="S24" s="458"/>
      <c r="T24" s="457">
        <f>+F199</f>
        <v>0.16190251976165301</v>
      </c>
      <c r="U24" s="458"/>
      <c r="V24" s="457">
        <f>+G199</f>
        <v>0.1479105322155024</v>
      </c>
      <c r="W24" s="458"/>
      <c r="X24" s="457">
        <f>+H199</f>
        <v>0.19027946427479761</v>
      </c>
      <c r="Y24" s="458"/>
      <c r="Z24" s="249"/>
    </row>
    <row r="25" spans="1:28" ht="12.6" thickBot="1" x14ac:dyDescent="0.3">
      <c r="A25" s="225"/>
      <c r="B25" s="226"/>
      <c r="C25" s="230">
        <f t="shared" ref="C25:I25" si="7">+C4*C24*2200/3600</f>
        <v>2794.2485185185183</v>
      </c>
      <c r="D25" s="230">
        <f t="shared" si="7"/>
        <v>3706.4194444444443</v>
      </c>
      <c r="E25" s="230">
        <f t="shared" si="7"/>
        <v>2803.9305555555557</v>
      </c>
      <c r="F25" s="230">
        <f t="shared" si="7"/>
        <v>2249.9603703703706</v>
      </c>
      <c r="G25" s="230">
        <f t="shared" si="7"/>
        <v>2786.5749999999994</v>
      </c>
      <c r="H25" s="230">
        <f t="shared" si="7"/>
        <v>1899.7000000000003</v>
      </c>
      <c r="I25" s="230">
        <f t="shared" si="7"/>
        <v>42001.666666666664</v>
      </c>
      <c r="J25" s="233"/>
      <c r="M25" s="267"/>
      <c r="N25" s="268"/>
      <c r="O25" s="269"/>
      <c r="P25" s="268"/>
      <c r="Q25" s="269"/>
      <c r="R25" s="268"/>
      <c r="S25" s="269"/>
      <c r="T25" s="268"/>
      <c r="U25" s="269"/>
      <c r="V25" s="268"/>
      <c r="W25" s="269"/>
      <c r="X25" s="268"/>
      <c r="Y25" s="269"/>
      <c r="Z25" s="249"/>
    </row>
    <row r="26" spans="1:28" ht="12.6" thickBot="1" x14ac:dyDescent="0.3">
      <c r="A26" s="225"/>
      <c r="B26" s="226"/>
      <c r="C26" s="244">
        <f>+C25/C15</f>
        <v>0.57415246167529943</v>
      </c>
      <c r="D26" s="244">
        <f t="shared" ref="D26:H26" si="8">+D25/D15</f>
        <v>0.60199007444168728</v>
      </c>
      <c r="E26" s="244">
        <f t="shared" si="8"/>
        <v>0.52168845935190444</v>
      </c>
      <c r="F26" s="244">
        <f t="shared" si="8"/>
        <v>0.55657646762408675</v>
      </c>
      <c r="G26" s="244">
        <f t="shared" si="8"/>
        <v>0.7079138366000387</v>
      </c>
      <c r="H26" s="244">
        <f t="shared" si="8"/>
        <v>0.61253201970443361</v>
      </c>
      <c r="I26" s="244"/>
      <c r="J26" s="233"/>
      <c r="N26" s="216">
        <f>+N23*O1</f>
        <v>772.50000000000011</v>
      </c>
      <c r="O26" s="233">
        <f>+O23</f>
        <v>11627.405684754522</v>
      </c>
      <c r="P26" s="216">
        <f>+P23*Q1</f>
        <v>657.59999999999991</v>
      </c>
      <c r="R26" s="216">
        <f>+R23*S1</f>
        <v>648.6</v>
      </c>
      <c r="T26" s="216">
        <f>+T23*U1</f>
        <v>681.59999999999991</v>
      </c>
      <c r="V26" s="216">
        <f>+V23*W1</f>
        <v>906.24</v>
      </c>
      <c r="X26" s="216">
        <f>+X23*Y1</f>
        <v>364</v>
      </c>
    </row>
    <row r="27" spans="1:28" ht="12.6" thickBot="1" x14ac:dyDescent="0.3">
      <c r="A27" s="234" t="s">
        <v>505</v>
      </c>
      <c r="B27" s="226" t="s">
        <v>360</v>
      </c>
      <c r="C27" s="230">
        <f>30+273</f>
        <v>303</v>
      </c>
      <c r="D27" s="230">
        <f t="shared" ref="D27:I27" si="9">30+273</f>
        <v>303</v>
      </c>
      <c r="E27" s="230">
        <f t="shared" si="9"/>
        <v>303</v>
      </c>
      <c r="F27" s="230">
        <f t="shared" si="9"/>
        <v>303</v>
      </c>
      <c r="G27" s="230">
        <f t="shared" si="9"/>
        <v>303</v>
      </c>
      <c r="H27" s="230">
        <f t="shared" si="9"/>
        <v>303</v>
      </c>
      <c r="I27" s="230">
        <f t="shared" si="9"/>
        <v>303</v>
      </c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</row>
    <row r="28" spans="1:28" ht="12.6" thickBot="1" x14ac:dyDescent="0.3">
      <c r="A28" s="234" t="s">
        <v>506</v>
      </c>
      <c r="B28" s="226" t="s">
        <v>360</v>
      </c>
      <c r="C28" s="230">
        <f>95+273</f>
        <v>368</v>
      </c>
      <c r="D28" s="230">
        <f>94+273</f>
        <v>367</v>
      </c>
      <c r="E28" s="230">
        <f>96+273</f>
        <v>369</v>
      </c>
      <c r="F28" s="230">
        <f>98+273</f>
        <v>371</v>
      </c>
      <c r="G28" s="230">
        <f>92+273</f>
        <v>365</v>
      </c>
      <c r="H28" s="230">
        <f>90+273</f>
        <v>363</v>
      </c>
      <c r="I28" s="230">
        <f>90+273</f>
        <v>363</v>
      </c>
    </row>
    <row r="29" spans="1:28" ht="12.6" thickBot="1" x14ac:dyDescent="0.3">
      <c r="A29" s="234"/>
      <c r="B29" s="226"/>
      <c r="C29" s="230"/>
      <c r="D29" s="230"/>
      <c r="E29" s="230"/>
      <c r="F29" s="230"/>
      <c r="G29" s="230"/>
      <c r="H29" s="230"/>
      <c r="I29" s="230"/>
      <c r="P29" s="235" t="s">
        <v>122</v>
      </c>
      <c r="Q29" s="235"/>
    </row>
    <row r="30" spans="1:28" ht="14.4" thickBot="1" x14ac:dyDescent="0.3">
      <c r="A30" s="234" t="s">
        <v>504</v>
      </c>
      <c r="B30" s="220" t="s">
        <v>501</v>
      </c>
      <c r="C30" s="230">
        <f>+((((C13*(1-C19))*Biomass!$F$35*Eficiencia!C$28)+(C23*$K$4)+(C20*503.7))-(C13*Biomass!$D$35*Eficiencia!C$27))/$K$3</f>
        <v>4884.4959619188567</v>
      </c>
      <c r="D30" s="230">
        <f>+((((D13*(1-D19))*Biomass!$F$35*Eficiencia!D$28)+(D23*$K$4)+(D20*503.7))-(D13*Biomass!$D$35*Eficiencia!D$27))/$K$3</f>
        <v>6493.4860181089807</v>
      </c>
      <c r="E30" s="230">
        <f>+((((E13*(1-E19))*Biomass!$F$35*Eficiencia!E$28)+(E23*$K$4)+(E20*503.7))-(E13*Biomass!$D$35*Eficiencia!E$27))/$K$3</f>
        <v>4931.4806762686976</v>
      </c>
      <c r="F30" s="230">
        <f>+((((F13*(1-F19))*Biomass!$F$35*Eficiencia!F$28)+(F23*$K$4)+(F20*503.7))-(F13*Biomass!$D$35*Eficiencia!F$27))/$K$3</f>
        <v>4057.4379330186225</v>
      </c>
      <c r="G30" s="230">
        <f>+((((G13*(1-G19))*Biomass!$F$35*Eficiencia!G$28)+(G23*$K$4)+(G20*503.7))-(G13*Biomass!$D$35*Eficiencia!G$27))/$K$3</f>
        <v>4620.7400899318209</v>
      </c>
      <c r="H30" s="230">
        <f>+((((H13*(1-H19))*Biomass!$F$35*Eficiencia!H$28)+(H23*$K$4)+(H20*503.7))-(H13*Biomass!$D$35*Eficiencia!H$27))/$K$3</f>
        <v>3152.6481770730929</v>
      </c>
      <c r="I30" s="230">
        <f>+((((I13*(1-I19))*Biomass!$F$35*Eficiencia!I$28)+(I23*$K$4)+(I20*503.7))-(I13*Biomass!$D$35*Eficiencia!I$27))/$K$3</f>
        <v>15064.612751715025</v>
      </c>
      <c r="P30" s="235" t="s">
        <v>539</v>
      </c>
      <c r="Q30" s="235">
        <v>3.95</v>
      </c>
      <c r="S30" s="216" t="s">
        <v>541</v>
      </c>
    </row>
    <row r="31" spans="1:28" ht="12.6" thickBot="1" x14ac:dyDescent="0.3">
      <c r="A31" s="234"/>
      <c r="B31" s="226"/>
      <c r="C31" s="230"/>
      <c r="D31" s="230"/>
      <c r="E31" s="230"/>
      <c r="F31" s="230"/>
      <c r="G31" s="230"/>
      <c r="H31" s="230"/>
      <c r="I31" s="230"/>
      <c r="P31" s="235" t="s">
        <v>540</v>
      </c>
      <c r="Q31" s="235">
        <v>3.92</v>
      </c>
      <c r="S31" s="216" t="s">
        <v>547</v>
      </c>
      <c r="T31" s="241">
        <v>0.17</v>
      </c>
      <c r="U31" s="237">
        <f>+$Q$39*T31</f>
        <v>2.9529000000000005</v>
      </c>
    </row>
    <row r="32" spans="1:28" ht="12.6" thickBot="1" x14ac:dyDescent="0.3">
      <c r="A32" s="234" t="s">
        <v>511</v>
      </c>
      <c r="B32" s="226" t="s">
        <v>314</v>
      </c>
      <c r="C32" s="236">
        <f t="shared" ref="C32:H32" si="10">+C30/C14</f>
        <v>0.76667649692651962</v>
      </c>
      <c r="D32" s="236">
        <f t="shared" si="10"/>
        <v>0.8056434265643897</v>
      </c>
      <c r="E32" s="236">
        <f t="shared" si="10"/>
        <v>0.70089264870220258</v>
      </c>
      <c r="F32" s="236">
        <f t="shared" si="10"/>
        <v>0.76671162755453937</v>
      </c>
      <c r="G32" s="236">
        <f t="shared" si="10"/>
        <v>0.89670873082317504</v>
      </c>
      <c r="H32" s="236">
        <f t="shared" si="10"/>
        <v>0.77651432932834796</v>
      </c>
      <c r="I32" s="236">
        <f>+I30/I14*0.7</f>
        <v>0.83692293065083467</v>
      </c>
      <c r="P32" s="235" t="s">
        <v>541</v>
      </c>
      <c r="Q32" s="235">
        <v>2.94</v>
      </c>
      <c r="S32" s="216" t="s">
        <v>51</v>
      </c>
      <c r="T32" s="241">
        <v>0.14000000000000001</v>
      </c>
      <c r="U32" s="237">
        <f>+$Q$39*T32</f>
        <v>2.4318000000000004</v>
      </c>
    </row>
    <row r="33" spans="1:21" ht="12.6" thickBot="1" x14ac:dyDescent="0.3">
      <c r="A33" s="234"/>
      <c r="B33" s="226"/>
      <c r="C33" s="236"/>
      <c r="D33" s="236"/>
      <c r="E33" s="236"/>
      <c r="F33" s="236"/>
      <c r="G33" s="236"/>
      <c r="H33" s="236"/>
      <c r="P33" s="235" t="s">
        <v>542</v>
      </c>
      <c r="Q33" s="235">
        <v>2.35</v>
      </c>
      <c r="S33" s="216" t="s">
        <v>548</v>
      </c>
      <c r="T33" s="241">
        <v>0.14000000000000001</v>
      </c>
      <c r="U33" s="237">
        <f>+$Q$39*T33</f>
        <v>2.4318000000000004</v>
      </c>
    </row>
    <row r="34" spans="1:21" ht="12.6" thickBot="1" x14ac:dyDescent="0.3">
      <c r="A34" s="441" t="s">
        <v>429</v>
      </c>
      <c r="B34" s="442"/>
      <c r="C34" s="442"/>
      <c r="D34" s="442"/>
      <c r="E34" s="442"/>
      <c r="F34" s="442"/>
      <c r="G34" s="442"/>
      <c r="H34" s="443"/>
      <c r="P34" s="235" t="s">
        <v>543</v>
      </c>
      <c r="Q34" s="235">
        <v>1.93</v>
      </c>
      <c r="S34" s="216" t="s">
        <v>544</v>
      </c>
      <c r="T34" s="241">
        <v>0.11</v>
      </c>
      <c r="U34" s="237">
        <f>+$Q$39*T34</f>
        <v>1.9107000000000001</v>
      </c>
    </row>
    <row r="35" spans="1:21" ht="14.4" thickBot="1" x14ac:dyDescent="0.3">
      <c r="A35" s="219" t="s">
        <v>430</v>
      </c>
      <c r="B35" s="220" t="s">
        <v>428</v>
      </c>
      <c r="C35" s="221">
        <v>24.3</v>
      </c>
      <c r="D35" s="221">
        <v>22.5</v>
      </c>
      <c r="E35" s="221">
        <v>22.9</v>
      </c>
      <c r="F35" s="221">
        <v>18.600000000000001</v>
      </c>
      <c r="G35" s="221">
        <v>24.34</v>
      </c>
      <c r="H35" s="221">
        <v>21.35</v>
      </c>
      <c r="I35" s="216">
        <f>+MEDIAN(C35:H35)</f>
        <v>22.7</v>
      </c>
      <c r="P35" s="235" t="s">
        <v>544</v>
      </c>
      <c r="Q35" s="235">
        <v>1.3</v>
      </c>
      <c r="S35" s="216" t="s">
        <v>442</v>
      </c>
      <c r="T35" s="241">
        <v>0.08</v>
      </c>
      <c r="U35" s="237">
        <v>0</v>
      </c>
    </row>
    <row r="36" spans="1:21" ht="12.6" thickBot="1" x14ac:dyDescent="0.3">
      <c r="A36" s="219"/>
      <c r="B36" s="220"/>
      <c r="C36" s="221">
        <f t="shared" ref="C36:H36" si="11">+C35*C4*10</f>
        <v>7290</v>
      </c>
      <c r="D36" s="221">
        <f t="shared" si="11"/>
        <v>9000</v>
      </c>
      <c r="E36" s="221">
        <f t="shared" si="11"/>
        <v>6870</v>
      </c>
      <c r="F36" s="221">
        <f t="shared" si="11"/>
        <v>4464</v>
      </c>
      <c r="G36" s="221">
        <f t="shared" si="11"/>
        <v>7302</v>
      </c>
      <c r="H36" s="221">
        <f t="shared" si="11"/>
        <v>4270</v>
      </c>
      <c r="P36" s="235"/>
      <c r="Q36" s="235"/>
      <c r="T36" s="241"/>
      <c r="U36" s="237"/>
    </row>
    <row r="37" spans="1:21" ht="12.6" thickBot="1" x14ac:dyDescent="0.3">
      <c r="A37" s="219" t="s">
        <v>431</v>
      </c>
      <c r="B37" s="220" t="s">
        <v>314</v>
      </c>
      <c r="C37" s="221">
        <v>64.3</v>
      </c>
      <c r="D37" s="221">
        <v>62.5</v>
      </c>
      <c r="E37" s="221">
        <v>66.7</v>
      </c>
      <c r="F37" s="221">
        <v>58.9</v>
      </c>
      <c r="G37" s="221">
        <v>59.7</v>
      </c>
      <c r="H37" s="221">
        <v>62.8</v>
      </c>
      <c r="P37" s="235" t="s">
        <v>545</v>
      </c>
      <c r="Q37" s="235">
        <v>0.89</v>
      </c>
      <c r="S37" s="216" t="s">
        <v>549</v>
      </c>
      <c r="T37" s="241">
        <v>7.0000000000000007E-2</v>
      </c>
      <c r="U37" s="237">
        <v>0</v>
      </c>
    </row>
    <row r="38" spans="1:21" ht="14.4" thickBot="1" x14ac:dyDescent="0.3">
      <c r="A38" s="219" t="s">
        <v>343</v>
      </c>
      <c r="B38" s="220" t="s">
        <v>432</v>
      </c>
      <c r="C38" s="221">
        <v>64.2</v>
      </c>
      <c r="D38" s="221">
        <v>66.3</v>
      </c>
      <c r="E38" s="221">
        <v>67.2</v>
      </c>
      <c r="F38" s="221">
        <v>65.5</v>
      </c>
      <c r="G38" s="221">
        <v>67.900000000000006</v>
      </c>
      <c r="H38" s="221">
        <v>66.5</v>
      </c>
      <c r="I38" s="216">
        <v>2</v>
      </c>
      <c r="P38" s="235" t="s">
        <v>546</v>
      </c>
      <c r="Q38" s="235">
        <v>0.09</v>
      </c>
      <c r="S38" s="216">
        <v>0</v>
      </c>
      <c r="T38" s="241">
        <v>7.0000000000000007E-2</v>
      </c>
      <c r="U38" s="237">
        <f t="shared" ref="U38:U44" si="12">+$Q$39*T38</f>
        <v>1.2159000000000002</v>
      </c>
    </row>
    <row r="39" spans="1:21" ht="12.6" thickBot="1" x14ac:dyDescent="0.3">
      <c r="A39" s="219" t="s">
        <v>345</v>
      </c>
      <c r="B39" s="220" t="s">
        <v>314</v>
      </c>
      <c r="C39" s="221">
        <v>28.7</v>
      </c>
      <c r="D39" s="221"/>
      <c r="E39" s="221"/>
      <c r="F39" s="221"/>
      <c r="G39" s="221"/>
      <c r="H39" s="221"/>
      <c r="Q39" s="216">
        <f>SUM(Q30:Q38)</f>
        <v>17.37</v>
      </c>
      <c r="S39" s="216" t="s">
        <v>550</v>
      </c>
      <c r="T39" s="241" t="s">
        <v>554</v>
      </c>
      <c r="U39" s="237" t="e">
        <f t="shared" si="12"/>
        <v>#VALUE!</v>
      </c>
    </row>
    <row r="40" spans="1:21" ht="12.6" thickBot="1" x14ac:dyDescent="0.3">
      <c r="A40" s="441" t="s">
        <v>433</v>
      </c>
      <c r="B40" s="442"/>
      <c r="C40" s="442"/>
      <c r="D40" s="442"/>
      <c r="E40" s="442"/>
      <c r="F40" s="442"/>
      <c r="G40" s="442"/>
      <c r="H40" s="443"/>
      <c r="Q40" s="237"/>
      <c r="S40" s="216" t="s">
        <v>551</v>
      </c>
      <c r="T40" s="241">
        <v>0.04</v>
      </c>
      <c r="U40" s="237">
        <f t="shared" si="12"/>
        <v>0.69480000000000008</v>
      </c>
    </row>
    <row r="41" spans="1:21" ht="12.6" thickBot="1" x14ac:dyDescent="0.3">
      <c r="A41" s="231" t="s">
        <v>520</v>
      </c>
      <c r="B41" s="238"/>
      <c r="C41" s="239">
        <f t="shared" ref="C41:H41" si="13">+C38*C13/100</f>
        <v>19260</v>
      </c>
      <c r="D41" s="239">
        <f t="shared" si="13"/>
        <v>26520</v>
      </c>
      <c r="E41" s="239">
        <f t="shared" si="13"/>
        <v>20160</v>
      </c>
      <c r="F41" s="239">
        <f t="shared" si="13"/>
        <v>15720</v>
      </c>
      <c r="G41" s="239">
        <f t="shared" si="13"/>
        <v>20370.000000000004</v>
      </c>
      <c r="H41" s="239">
        <f t="shared" si="13"/>
        <v>13300</v>
      </c>
      <c r="Q41" s="237"/>
      <c r="S41" s="216" t="s">
        <v>552</v>
      </c>
      <c r="T41" s="241">
        <v>0.04</v>
      </c>
      <c r="U41" s="237">
        <f t="shared" si="12"/>
        <v>0.69480000000000008</v>
      </c>
    </row>
    <row r="42" spans="1:21" ht="12.6" thickBot="1" x14ac:dyDescent="0.3">
      <c r="A42" s="231"/>
      <c r="B42" s="238"/>
      <c r="C42" s="238"/>
      <c r="D42" s="238"/>
      <c r="E42" s="238"/>
      <c r="F42" s="238"/>
      <c r="G42" s="238"/>
      <c r="H42" s="238"/>
      <c r="Q42" s="237"/>
      <c r="S42" s="216" t="s">
        <v>47</v>
      </c>
      <c r="T42" s="241">
        <v>0.02</v>
      </c>
      <c r="U42" s="237">
        <f t="shared" si="12"/>
        <v>0.34740000000000004</v>
      </c>
    </row>
    <row r="43" spans="1:21" ht="14.4" thickBot="1" x14ac:dyDescent="0.3">
      <c r="A43" s="454" t="s">
        <v>346</v>
      </c>
      <c r="B43" s="220" t="s">
        <v>427</v>
      </c>
      <c r="C43" s="221">
        <v>2832</v>
      </c>
      <c r="D43" s="221">
        <v>3524</v>
      </c>
      <c r="E43" s="221">
        <v>2537</v>
      </c>
      <c r="F43" s="221">
        <v>2606</v>
      </c>
      <c r="G43" s="221">
        <v>2113</v>
      </c>
      <c r="H43" s="221">
        <v>1806</v>
      </c>
      <c r="Q43" s="237"/>
      <c r="S43" s="216" t="s">
        <v>553</v>
      </c>
      <c r="T43" s="241">
        <v>0.01</v>
      </c>
      <c r="U43" s="237">
        <f t="shared" si="12"/>
        <v>0.17370000000000002</v>
      </c>
    </row>
    <row r="44" spans="1:21" ht="14.4" thickBot="1" x14ac:dyDescent="0.3">
      <c r="A44" s="455"/>
      <c r="B44" s="220" t="s">
        <v>501</v>
      </c>
      <c r="C44" s="228">
        <f t="shared" ref="C44:H44" si="14">+C43/C4</f>
        <v>94.4</v>
      </c>
      <c r="D44" s="228">
        <f t="shared" si="14"/>
        <v>88.1</v>
      </c>
      <c r="E44" s="228">
        <f t="shared" si="14"/>
        <v>84.566666666666663</v>
      </c>
      <c r="F44" s="228">
        <f t="shared" si="14"/>
        <v>108.58333333333333</v>
      </c>
      <c r="G44" s="228">
        <f t="shared" si="14"/>
        <v>70.433333333333337</v>
      </c>
      <c r="H44" s="228">
        <f t="shared" si="14"/>
        <v>90.3</v>
      </c>
      <c r="S44" s="216" t="s">
        <v>546</v>
      </c>
      <c r="T44" s="241">
        <v>0.01</v>
      </c>
      <c r="U44" s="237">
        <f t="shared" si="12"/>
        <v>0.17370000000000002</v>
      </c>
    </row>
    <row r="45" spans="1:21" ht="12.6" thickBot="1" x14ac:dyDescent="0.3">
      <c r="A45" s="227"/>
      <c r="B45" s="220"/>
      <c r="C45" s="228">
        <f>+C43*0.763888888888889</f>
        <v>2163.3333333333335</v>
      </c>
      <c r="D45" s="228">
        <f t="shared" ref="D45:H45" si="15">+D43*0.763888888888889</f>
        <v>2691.9444444444448</v>
      </c>
      <c r="E45" s="228">
        <f t="shared" si="15"/>
        <v>1937.9861111111113</v>
      </c>
      <c r="F45" s="228">
        <f t="shared" si="15"/>
        <v>1990.6944444444446</v>
      </c>
      <c r="G45" s="228">
        <f t="shared" si="15"/>
        <v>1614.0972222222224</v>
      </c>
      <c r="H45" s="228">
        <f t="shared" si="15"/>
        <v>1379.5833333333335</v>
      </c>
      <c r="T45" s="241"/>
      <c r="U45" s="237"/>
    </row>
    <row r="46" spans="1:21" ht="14.4" thickBot="1" x14ac:dyDescent="0.3">
      <c r="A46" s="219" t="s">
        <v>347</v>
      </c>
      <c r="B46" s="220" t="s">
        <v>434</v>
      </c>
      <c r="C46" s="221">
        <v>11866</v>
      </c>
      <c r="D46" s="221">
        <v>15972</v>
      </c>
      <c r="E46" s="221">
        <v>11799</v>
      </c>
      <c r="F46" s="221">
        <f>0.39*F13</f>
        <v>9360</v>
      </c>
      <c r="G46" s="221">
        <v>9513</v>
      </c>
      <c r="H46" s="221">
        <v>7885</v>
      </c>
      <c r="U46" s="216" t="e">
        <f>SUM(U31:U44)</f>
        <v>#VALUE!</v>
      </c>
    </row>
    <row r="47" spans="1:21" ht="12.6" thickBot="1" x14ac:dyDescent="0.3">
      <c r="A47" s="219" t="s">
        <v>349</v>
      </c>
      <c r="B47" s="220" t="s">
        <v>314</v>
      </c>
      <c r="C47" s="221">
        <v>53</v>
      </c>
      <c r="D47" s="221">
        <v>54</v>
      </c>
      <c r="E47" s="221">
        <v>53</v>
      </c>
      <c r="F47" s="221">
        <v>50</v>
      </c>
      <c r="G47" s="221">
        <v>54</v>
      </c>
      <c r="H47" s="221">
        <v>53</v>
      </c>
    </row>
    <row r="48" spans="1:21" ht="12.6" thickBot="1" x14ac:dyDescent="0.3">
      <c r="A48" s="219" t="s">
        <v>350</v>
      </c>
      <c r="B48" s="220" t="s">
        <v>314</v>
      </c>
      <c r="C48" s="221">
        <v>14</v>
      </c>
      <c r="D48" s="221">
        <v>16</v>
      </c>
      <c r="E48" s="221">
        <v>17</v>
      </c>
      <c r="F48" s="221">
        <v>15</v>
      </c>
      <c r="G48" s="221">
        <v>17</v>
      </c>
      <c r="H48" s="221">
        <v>16</v>
      </c>
    </row>
    <row r="49" spans="1:13" ht="12.6" thickBot="1" x14ac:dyDescent="0.3">
      <c r="A49" s="219" t="s">
        <v>435</v>
      </c>
      <c r="B49" s="220" t="s">
        <v>314</v>
      </c>
      <c r="C49" s="221">
        <v>33</v>
      </c>
      <c r="D49" s="221">
        <v>31</v>
      </c>
      <c r="E49" s="221">
        <v>30</v>
      </c>
      <c r="F49" s="221">
        <v>35</v>
      </c>
      <c r="G49" s="221">
        <v>29</v>
      </c>
      <c r="H49" s="221">
        <v>31</v>
      </c>
    </row>
    <row r="50" spans="1:13" ht="14.4" thickBot="1" x14ac:dyDescent="0.3">
      <c r="A50" s="219" t="s">
        <v>514</v>
      </c>
      <c r="B50" s="220" t="s">
        <v>515</v>
      </c>
      <c r="C50" s="240">
        <f>+((C47*1.46)+(C48*4.18)+(C49*2.22))/100</f>
        <v>2.0915999999999997</v>
      </c>
      <c r="D50" s="240">
        <f t="shared" ref="D50:H50" si="16">+((D47*1.46)+(D48*4.18)+(D49*2.22))/100</f>
        <v>2.1454000000000004</v>
      </c>
      <c r="E50" s="240">
        <f t="shared" si="16"/>
        <v>2.1504000000000003</v>
      </c>
      <c r="F50" s="240">
        <f t="shared" si="16"/>
        <v>2.1339999999999999</v>
      </c>
      <c r="G50" s="240">
        <f t="shared" si="16"/>
        <v>2.1428000000000003</v>
      </c>
      <c r="H50" s="240">
        <f t="shared" si="16"/>
        <v>2.1307999999999998</v>
      </c>
    </row>
    <row r="51" spans="1:13" ht="12.6" thickBot="1" x14ac:dyDescent="0.3">
      <c r="A51" s="219" t="s">
        <v>516</v>
      </c>
      <c r="B51" s="220" t="s">
        <v>314</v>
      </c>
      <c r="C51" s="221">
        <v>12.3</v>
      </c>
      <c r="D51" s="221">
        <v>12.5</v>
      </c>
      <c r="E51" s="221">
        <v>12.7</v>
      </c>
      <c r="F51" s="221">
        <v>12.4</v>
      </c>
      <c r="G51" s="221">
        <v>13.1</v>
      </c>
      <c r="H51" s="221">
        <v>12.7</v>
      </c>
      <c r="J51" s="222">
        <v>23.5</v>
      </c>
      <c r="K51" s="241">
        <f>+J51/$J$57</f>
        <v>0.36776212832550864</v>
      </c>
      <c r="L51" s="222">
        <v>1.46</v>
      </c>
      <c r="M51" s="216">
        <f>+K51*L51</f>
        <v>0.53693270735524257</v>
      </c>
    </row>
    <row r="52" spans="1:13" ht="14.4" thickBot="1" x14ac:dyDescent="0.3">
      <c r="A52" s="219" t="s">
        <v>352</v>
      </c>
      <c r="B52" s="220" t="s">
        <v>517</v>
      </c>
      <c r="C52" s="221">
        <f t="shared" ref="C52:H52" si="17">+C51*C13/100</f>
        <v>3690</v>
      </c>
      <c r="D52" s="221">
        <f t="shared" si="17"/>
        <v>5000</v>
      </c>
      <c r="E52" s="221">
        <f t="shared" si="17"/>
        <v>3810</v>
      </c>
      <c r="F52" s="221">
        <f t="shared" si="17"/>
        <v>2976</v>
      </c>
      <c r="G52" s="221">
        <f t="shared" si="17"/>
        <v>3930</v>
      </c>
      <c r="H52" s="221">
        <f t="shared" si="17"/>
        <v>2540</v>
      </c>
      <c r="J52" s="216">
        <v>5.2</v>
      </c>
      <c r="K52" s="241">
        <f>+J52/$J$57</f>
        <v>8.137715179968702E-2</v>
      </c>
      <c r="L52" s="216">
        <v>1.59</v>
      </c>
      <c r="M52" s="216">
        <f t="shared" ref="M52:M56" si="18">+K52*L52</f>
        <v>0.12938967136150237</v>
      </c>
    </row>
    <row r="53" spans="1:13" ht="12.6" thickBot="1" x14ac:dyDescent="0.3">
      <c r="A53" s="219"/>
      <c r="B53" s="220"/>
      <c r="C53" s="221">
        <f t="shared" ref="C53:H53" si="19">+C52/C4</f>
        <v>123</v>
      </c>
      <c r="D53" s="221">
        <f t="shared" si="19"/>
        <v>125</v>
      </c>
      <c r="E53" s="221">
        <f t="shared" si="19"/>
        <v>127</v>
      </c>
      <c r="F53" s="221">
        <f t="shared" si="19"/>
        <v>124</v>
      </c>
      <c r="G53" s="221">
        <f t="shared" si="19"/>
        <v>131</v>
      </c>
      <c r="H53" s="221">
        <f t="shared" si="19"/>
        <v>127</v>
      </c>
      <c r="I53" s="216">
        <f>+MEDIAN(C53:H53)</f>
        <v>126</v>
      </c>
      <c r="K53" s="241"/>
    </row>
    <row r="54" spans="1:13" ht="12.6" thickBot="1" x14ac:dyDescent="0.3">
      <c r="A54" s="219" t="s">
        <v>354</v>
      </c>
      <c r="B54" s="220" t="s">
        <v>314</v>
      </c>
      <c r="C54" s="221">
        <v>35.200000000000003</v>
      </c>
      <c r="D54" s="221">
        <v>33.1</v>
      </c>
      <c r="E54" s="221">
        <v>38.4</v>
      </c>
      <c r="F54" s="221">
        <v>35.299999999999997</v>
      </c>
      <c r="G54" s="221">
        <v>36.6</v>
      </c>
      <c r="H54" s="221">
        <v>36.799999999999997</v>
      </c>
      <c r="J54" s="222">
        <v>6.8</v>
      </c>
      <c r="K54" s="241">
        <f>+J54/$J$57</f>
        <v>0.10641627543035993</v>
      </c>
      <c r="L54" s="222">
        <v>1.88</v>
      </c>
      <c r="M54" s="216">
        <f t="shared" si="18"/>
        <v>0.20006259780907668</v>
      </c>
    </row>
    <row r="55" spans="1:13" ht="12.6" thickBot="1" x14ac:dyDescent="0.3">
      <c r="A55" s="219" t="s">
        <v>518</v>
      </c>
      <c r="B55" s="220"/>
      <c r="C55" s="242">
        <f>+(((100-C54)*1.8)+(C54*4.18))/100</f>
        <v>2.6377600000000001</v>
      </c>
      <c r="D55" s="242">
        <f t="shared" ref="D55:H55" si="20">+(((100-D54)*1.8)+(D54*4.18))/100</f>
        <v>2.5877800000000004</v>
      </c>
      <c r="E55" s="242">
        <f t="shared" si="20"/>
        <v>2.7139199999999999</v>
      </c>
      <c r="F55" s="242">
        <f t="shared" si="20"/>
        <v>2.6401400000000002</v>
      </c>
      <c r="G55" s="242">
        <f t="shared" si="20"/>
        <v>2.6710799999999999</v>
      </c>
      <c r="H55" s="242">
        <f t="shared" si="20"/>
        <v>2.67584</v>
      </c>
      <c r="J55" s="216">
        <v>14</v>
      </c>
      <c r="K55" s="241">
        <f>+J55/$J$57</f>
        <v>0.2190923317683881</v>
      </c>
      <c r="L55" s="216">
        <v>1.8</v>
      </c>
      <c r="M55" s="216">
        <f t="shared" si="18"/>
        <v>0.39436619718309862</v>
      </c>
    </row>
    <row r="56" spans="1:13" ht="12.6" thickBot="1" x14ac:dyDescent="0.3">
      <c r="A56" s="219" t="s">
        <v>516</v>
      </c>
      <c r="B56" s="220" t="s">
        <v>314</v>
      </c>
      <c r="C56" s="221">
        <v>12</v>
      </c>
      <c r="D56" s="221">
        <v>12.4</v>
      </c>
      <c r="E56" s="221">
        <v>12.7</v>
      </c>
      <c r="F56" s="221">
        <v>12.9</v>
      </c>
      <c r="G56" s="221">
        <v>13.1</v>
      </c>
      <c r="H56" s="221">
        <v>12.5</v>
      </c>
      <c r="J56" s="237">
        <v>14.4</v>
      </c>
      <c r="K56" s="241">
        <f>+J56/$J$57</f>
        <v>0.22535211267605634</v>
      </c>
      <c r="L56" s="222">
        <v>4.18</v>
      </c>
      <c r="M56" s="216">
        <f t="shared" si="18"/>
        <v>0.94197183098591541</v>
      </c>
    </row>
    <row r="57" spans="1:13" ht="14.4" thickBot="1" x14ac:dyDescent="0.3">
      <c r="A57" s="219" t="s">
        <v>355</v>
      </c>
      <c r="B57" s="220" t="s">
        <v>519</v>
      </c>
      <c r="C57" s="221">
        <f t="shared" ref="C57:H57" si="21">+C56*C13/100</f>
        <v>3600</v>
      </c>
      <c r="D57" s="221">
        <f t="shared" si="21"/>
        <v>4960</v>
      </c>
      <c r="E57" s="221">
        <f t="shared" si="21"/>
        <v>3810</v>
      </c>
      <c r="F57" s="221">
        <f t="shared" si="21"/>
        <v>3096</v>
      </c>
      <c r="G57" s="221">
        <f t="shared" si="21"/>
        <v>3930</v>
      </c>
      <c r="H57" s="221">
        <f t="shared" si="21"/>
        <v>2500</v>
      </c>
      <c r="J57" s="237">
        <f>SUM(J51:J56)</f>
        <v>63.9</v>
      </c>
      <c r="M57" s="216">
        <f>SUM(M51:M56)</f>
        <v>2.2027230046948354</v>
      </c>
    </row>
    <row r="58" spans="1:13" ht="12.6" thickBot="1" x14ac:dyDescent="0.3">
      <c r="A58" s="219" t="s">
        <v>357</v>
      </c>
      <c r="B58" s="220" t="s">
        <v>314</v>
      </c>
      <c r="C58" s="221">
        <v>10</v>
      </c>
      <c r="D58" s="221">
        <v>10.82</v>
      </c>
      <c r="E58" s="221">
        <v>13.36</v>
      </c>
      <c r="F58" s="221">
        <v>12.29</v>
      </c>
      <c r="G58" s="221">
        <v>14.33</v>
      </c>
      <c r="H58" s="221">
        <v>16.47</v>
      </c>
    </row>
    <row r="59" spans="1:13" ht="12.6" thickBot="1" x14ac:dyDescent="0.3">
      <c r="A59" s="219" t="s">
        <v>518</v>
      </c>
      <c r="B59" s="226"/>
      <c r="C59" s="243">
        <f>+(((100-C58)*1.8)+(C58*4.18))/100</f>
        <v>2.0380000000000003</v>
      </c>
      <c r="D59" s="243">
        <f t="shared" ref="D59:H59" si="22">+(((100-D58)*1.8)+(D58*4.18))/100</f>
        <v>2.0575160000000001</v>
      </c>
      <c r="E59" s="243">
        <f t="shared" si="22"/>
        <v>2.1179679999999999</v>
      </c>
      <c r="F59" s="243">
        <f t="shared" si="22"/>
        <v>2.0925020000000001</v>
      </c>
      <c r="G59" s="243">
        <f t="shared" si="22"/>
        <v>2.141054</v>
      </c>
      <c r="H59" s="243">
        <f t="shared" si="22"/>
        <v>2.191986</v>
      </c>
    </row>
    <row r="60" spans="1:13" ht="12.6" thickBot="1" x14ac:dyDescent="0.3">
      <c r="A60" s="234"/>
      <c r="B60" s="226"/>
      <c r="C60" s="243"/>
      <c r="D60" s="243"/>
      <c r="E60" s="243"/>
      <c r="F60" s="243"/>
      <c r="G60" s="243"/>
      <c r="H60" s="243"/>
    </row>
    <row r="61" spans="1:13" ht="12.6" thickBot="1" x14ac:dyDescent="0.3">
      <c r="A61" s="234" t="s">
        <v>505</v>
      </c>
      <c r="B61" s="226" t="s">
        <v>360</v>
      </c>
      <c r="C61" s="230">
        <f>80+273</f>
        <v>353</v>
      </c>
      <c r="D61" s="230">
        <f t="shared" ref="D61:H61" si="23">80+273</f>
        <v>353</v>
      </c>
      <c r="E61" s="230">
        <f t="shared" si="23"/>
        <v>353</v>
      </c>
      <c r="F61" s="230">
        <f t="shared" si="23"/>
        <v>353</v>
      </c>
      <c r="G61" s="230">
        <f t="shared" si="23"/>
        <v>353</v>
      </c>
      <c r="H61" s="230">
        <f t="shared" si="23"/>
        <v>353</v>
      </c>
      <c r="I61" s="230"/>
    </row>
    <row r="62" spans="1:13" ht="12.6" thickBot="1" x14ac:dyDescent="0.3">
      <c r="A62" s="234" t="s">
        <v>506</v>
      </c>
      <c r="B62" s="226" t="s">
        <v>360</v>
      </c>
      <c r="C62" s="230">
        <f>90+273</f>
        <v>363</v>
      </c>
      <c r="D62" s="230">
        <f t="shared" ref="D62:H62" si="24">90+273</f>
        <v>363</v>
      </c>
      <c r="E62" s="230">
        <f t="shared" si="24"/>
        <v>363</v>
      </c>
      <c r="F62" s="230">
        <f t="shared" si="24"/>
        <v>363</v>
      </c>
      <c r="G62" s="230">
        <f t="shared" si="24"/>
        <v>363</v>
      </c>
      <c r="H62" s="230">
        <f t="shared" si="24"/>
        <v>363</v>
      </c>
      <c r="I62" s="230"/>
    </row>
    <row r="63" spans="1:13" ht="12.6" thickBot="1" x14ac:dyDescent="0.3">
      <c r="A63" s="234"/>
      <c r="B63" s="226"/>
      <c r="C63" s="243"/>
      <c r="D63" s="243"/>
      <c r="E63" s="243"/>
      <c r="F63" s="243"/>
      <c r="G63" s="243"/>
      <c r="H63" s="243"/>
    </row>
    <row r="64" spans="1:13" ht="14.4" thickBot="1" x14ac:dyDescent="0.3">
      <c r="A64" s="234" t="s">
        <v>504</v>
      </c>
      <c r="B64" s="220" t="s">
        <v>501</v>
      </c>
      <c r="C64" s="230">
        <f t="shared" ref="C64:H64" si="25">+((C46*C50*C62)+(C52*C55*C62)+(C57*C59*C62)-(C41*$M$57*C61))/2703</f>
        <v>85.053522064685112</v>
      </c>
      <c r="D64" s="230">
        <f t="shared" si="25"/>
        <v>81.054713373668179</v>
      </c>
      <c r="E64" s="230">
        <f t="shared" si="25"/>
        <v>80.37536699567066</v>
      </c>
      <c r="F64" s="230">
        <f t="shared" si="25"/>
        <v>85.517010463783436</v>
      </c>
      <c r="G64" s="230">
        <f t="shared" si="25"/>
        <v>-582.47212302209925</v>
      </c>
      <c r="H64" s="230">
        <f t="shared" si="25"/>
        <v>79.072886074072116</v>
      </c>
    </row>
    <row r="65" spans="1:8" ht="12.6" thickBot="1" x14ac:dyDescent="0.3">
      <c r="A65" s="234"/>
      <c r="B65" s="226"/>
      <c r="C65" s="244">
        <f>+C64/C44</f>
        <v>0.90099069983776592</v>
      </c>
      <c r="D65" s="244">
        <f t="shared" ref="D65:H65" si="26">+D64/D44</f>
        <v>0.92003079879305538</v>
      </c>
      <c r="E65" s="244">
        <f t="shared" si="26"/>
        <v>0.9504379226922034</v>
      </c>
      <c r="F65" s="244">
        <f t="shared" si="26"/>
        <v>0.78757031892970164</v>
      </c>
      <c r="G65" s="244">
        <f t="shared" si="26"/>
        <v>-8.2698361053776512</v>
      </c>
      <c r="H65" s="244">
        <f t="shared" si="26"/>
        <v>0.87566872728762035</v>
      </c>
    </row>
    <row r="66" spans="1:8" ht="12.6" thickBot="1" x14ac:dyDescent="0.3">
      <c r="A66" s="441" t="s">
        <v>50</v>
      </c>
      <c r="B66" s="442"/>
      <c r="C66" s="442"/>
      <c r="D66" s="442"/>
      <c r="E66" s="442"/>
      <c r="F66" s="442"/>
      <c r="G66" s="442"/>
      <c r="H66" s="443"/>
    </row>
    <row r="67" spans="1:8" ht="14.4" thickBot="1" x14ac:dyDescent="0.3">
      <c r="A67" s="219" t="s">
        <v>438</v>
      </c>
      <c r="B67" s="220" t="s">
        <v>439</v>
      </c>
      <c r="C67" s="245">
        <f>+(C47*C46)/1.4/100</f>
        <v>4492.1285714285714</v>
      </c>
      <c r="D67" s="245">
        <f t="shared" ref="D67:H67" si="27">+(D47*D46)/1.4/100</f>
        <v>6160.6285714285714</v>
      </c>
      <c r="E67" s="245">
        <f t="shared" si="27"/>
        <v>4466.7642857142855</v>
      </c>
      <c r="F67" s="245">
        <f t="shared" si="27"/>
        <v>3342.8571428571431</v>
      </c>
      <c r="G67" s="245">
        <f t="shared" si="27"/>
        <v>3669.3</v>
      </c>
      <c r="H67" s="245">
        <f t="shared" si="27"/>
        <v>2985.0357142857142</v>
      </c>
    </row>
    <row r="68" spans="1:8" ht="12.6" thickBot="1" x14ac:dyDescent="0.3">
      <c r="A68" s="219" t="s">
        <v>359</v>
      </c>
      <c r="B68" s="220" t="s">
        <v>360</v>
      </c>
      <c r="C68" s="221">
        <f>80+273</f>
        <v>353</v>
      </c>
      <c r="D68" s="221">
        <f t="shared" ref="D68:H68" si="28">80+273</f>
        <v>353</v>
      </c>
      <c r="E68" s="221">
        <f t="shared" si="28"/>
        <v>353</v>
      </c>
      <c r="F68" s="221">
        <f t="shared" si="28"/>
        <v>353</v>
      </c>
      <c r="G68" s="221">
        <f t="shared" si="28"/>
        <v>353</v>
      </c>
      <c r="H68" s="221">
        <f t="shared" si="28"/>
        <v>353</v>
      </c>
    </row>
    <row r="69" spans="1:8" ht="12.6" thickBot="1" x14ac:dyDescent="0.3">
      <c r="A69" s="219" t="s">
        <v>361</v>
      </c>
      <c r="B69" s="220" t="s">
        <v>360</v>
      </c>
      <c r="C69" s="221">
        <f>95+273</f>
        <v>368</v>
      </c>
      <c r="D69" s="221">
        <f t="shared" ref="D69:H69" si="29">95+273</f>
        <v>368</v>
      </c>
      <c r="E69" s="221">
        <f t="shared" si="29"/>
        <v>368</v>
      </c>
      <c r="F69" s="221">
        <f t="shared" si="29"/>
        <v>368</v>
      </c>
      <c r="G69" s="221">
        <f t="shared" si="29"/>
        <v>368</v>
      </c>
      <c r="H69" s="221">
        <f t="shared" si="29"/>
        <v>368</v>
      </c>
    </row>
    <row r="70" spans="1:8" ht="14.4" thickBot="1" x14ac:dyDescent="0.3">
      <c r="A70" s="219" t="s">
        <v>362</v>
      </c>
      <c r="B70" s="220" t="s">
        <v>440</v>
      </c>
      <c r="C70" s="245">
        <f>+(C46*C47*0.9)/100</f>
        <v>5660.0820000000003</v>
      </c>
      <c r="D70" s="245">
        <f t="shared" ref="D70:H70" si="30">+(D46*D47*0.9)/100</f>
        <v>7762.3920000000007</v>
      </c>
      <c r="E70" s="245">
        <f t="shared" si="30"/>
        <v>5628.1230000000005</v>
      </c>
      <c r="F70" s="245">
        <f t="shared" si="30"/>
        <v>4212</v>
      </c>
      <c r="G70" s="245">
        <f t="shared" si="30"/>
        <v>4623.3180000000002</v>
      </c>
      <c r="H70" s="245">
        <f t="shared" si="30"/>
        <v>3761.145</v>
      </c>
    </row>
    <row r="71" spans="1:8" ht="14.4" thickBot="1" x14ac:dyDescent="0.3">
      <c r="A71" s="219" t="s">
        <v>364</v>
      </c>
      <c r="B71" s="220" t="s">
        <v>427</v>
      </c>
      <c r="C71" s="221">
        <v>701</v>
      </c>
      <c r="D71" s="221">
        <v>1122</v>
      </c>
      <c r="E71" s="221">
        <v>535</v>
      </c>
      <c r="F71" s="221">
        <v>683</v>
      </c>
      <c r="G71" s="221">
        <v>513</v>
      </c>
      <c r="H71" s="221">
        <v>408</v>
      </c>
    </row>
    <row r="72" spans="1:8" ht="12.6" thickBot="1" x14ac:dyDescent="0.3">
      <c r="A72" s="219"/>
      <c r="B72" s="220"/>
      <c r="C72" s="228">
        <f t="shared" ref="C72:H72" si="31">+C71/C4</f>
        <v>23.366666666666667</v>
      </c>
      <c r="D72" s="228">
        <f t="shared" si="31"/>
        <v>28.05</v>
      </c>
      <c r="E72" s="228">
        <f t="shared" si="31"/>
        <v>17.833333333333332</v>
      </c>
      <c r="F72" s="228">
        <f t="shared" si="31"/>
        <v>28.458333333333332</v>
      </c>
      <c r="G72" s="228">
        <f t="shared" si="31"/>
        <v>17.100000000000001</v>
      </c>
      <c r="H72" s="228">
        <f t="shared" si="31"/>
        <v>20.399999999999999</v>
      </c>
    </row>
    <row r="73" spans="1:8" ht="12.6" thickBot="1" x14ac:dyDescent="0.3">
      <c r="A73" s="219"/>
      <c r="B73" s="220"/>
      <c r="C73" s="245">
        <f>+C71*2750/3600</f>
        <v>535.48611111111109</v>
      </c>
      <c r="D73" s="245">
        <f t="shared" ref="D73:H73" si="32">+D71*2750/3600</f>
        <v>857.08333333333337</v>
      </c>
      <c r="E73" s="245">
        <f t="shared" si="32"/>
        <v>408.68055555555554</v>
      </c>
      <c r="F73" s="245">
        <f t="shared" si="32"/>
        <v>521.73611111111109</v>
      </c>
      <c r="G73" s="245">
        <f t="shared" si="32"/>
        <v>391.875</v>
      </c>
      <c r="H73" s="245">
        <f t="shared" si="32"/>
        <v>311.66666666666669</v>
      </c>
    </row>
    <row r="74" spans="1:8" ht="14.4" thickBot="1" x14ac:dyDescent="0.3">
      <c r="A74" s="219" t="s">
        <v>365</v>
      </c>
      <c r="B74" s="220" t="s">
        <v>441</v>
      </c>
      <c r="C74" s="245">
        <f>+C46+C67+C71-C70</f>
        <v>11399.046571428569</v>
      </c>
      <c r="D74" s="245">
        <f t="shared" ref="D74:H74" si="33">+D46+D67+D71-D70</f>
        <v>15492.23657142857</v>
      </c>
      <c r="E74" s="245">
        <f t="shared" si="33"/>
        <v>11172.641285714286</v>
      </c>
      <c r="F74" s="245">
        <f t="shared" si="33"/>
        <v>9173.8571428571431</v>
      </c>
      <c r="G74" s="245">
        <f t="shared" si="33"/>
        <v>9071.982</v>
      </c>
      <c r="H74" s="245">
        <f t="shared" si="33"/>
        <v>7516.8907142857133</v>
      </c>
    </row>
    <row r="75" spans="1:8" ht="12.6" thickBot="1" x14ac:dyDescent="0.3">
      <c r="A75" s="234"/>
      <c r="B75" s="226"/>
      <c r="C75" s="230"/>
      <c r="D75" s="230"/>
      <c r="E75" s="230"/>
      <c r="F75" s="230"/>
      <c r="G75" s="230"/>
      <c r="H75" s="245"/>
    </row>
    <row r="76" spans="1:8" ht="12.6" thickBot="1" x14ac:dyDescent="0.3">
      <c r="A76" s="234"/>
      <c r="B76" s="226"/>
      <c r="C76" s="230">
        <f>+((C70*1.46*C69)+(C74*2.22*C69)-(C67*500)-(C46*C50*C68))/2700</f>
        <v>498.69219312592651</v>
      </c>
      <c r="D76" s="230">
        <f t="shared" ref="D76:H76" si="34">+((D70*1.46*D69)+(D74*2.22*D69)-(D67*500)-(D46*D50*D68))/2700</f>
        <v>611.40267075555539</v>
      </c>
      <c r="E76" s="230">
        <f t="shared" si="34"/>
        <v>356.14064391111128</v>
      </c>
      <c r="F76" s="230">
        <f t="shared" si="34"/>
        <v>383.46755555555569</v>
      </c>
      <c r="G76" s="230">
        <f t="shared" si="34"/>
        <v>320.40725946666674</v>
      </c>
      <c r="H76" s="230">
        <f t="shared" si="34"/>
        <v>273.4777008888891</v>
      </c>
    </row>
    <row r="77" spans="1:8" ht="14.4" thickBot="1" x14ac:dyDescent="0.3">
      <c r="A77" s="234" t="s">
        <v>504</v>
      </c>
      <c r="B77" s="220" t="s">
        <v>501</v>
      </c>
      <c r="C77" s="244">
        <f>+C76/C71</f>
        <v>0.71140113142072259</v>
      </c>
      <c r="D77" s="244">
        <f t="shared" ref="D77:H77" si="35">+D76/D71</f>
        <v>0.54492216644880165</v>
      </c>
      <c r="E77" s="244">
        <f t="shared" si="35"/>
        <v>0.66568344656282485</v>
      </c>
      <c r="F77" s="244">
        <f t="shared" si="35"/>
        <v>0.56144590857328802</v>
      </c>
      <c r="G77" s="244">
        <f t="shared" si="35"/>
        <v>0.62457555451591962</v>
      </c>
      <c r="H77" s="244">
        <f t="shared" si="35"/>
        <v>0.67028848257080664</v>
      </c>
    </row>
    <row r="78" spans="1:8" ht="12.6" thickBot="1" x14ac:dyDescent="0.3">
      <c r="A78" s="234"/>
      <c r="B78" s="226"/>
      <c r="C78" s="244"/>
      <c r="D78" s="244"/>
      <c r="E78" s="244"/>
      <c r="F78" s="244"/>
      <c r="G78" s="244"/>
      <c r="H78" s="244"/>
    </row>
    <row r="79" spans="1:8" ht="12.6" thickBot="1" x14ac:dyDescent="0.3">
      <c r="A79" s="441" t="s">
        <v>442</v>
      </c>
      <c r="B79" s="442"/>
      <c r="C79" s="442"/>
      <c r="D79" s="442"/>
      <c r="E79" s="442"/>
      <c r="F79" s="442"/>
      <c r="G79" s="442"/>
      <c r="H79" s="443"/>
    </row>
    <row r="80" spans="1:8" ht="14.4" thickBot="1" x14ac:dyDescent="0.3">
      <c r="A80" s="219" t="s">
        <v>367</v>
      </c>
      <c r="B80" s="220" t="s">
        <v>439</v>
      </c>
      <c r="C80" s="221">
        <v>3784</v>
      </c>
      <c r="D80" s="221">
        <v>5328</v>
      </c>
      <c r="E80" s="221">
        <v>3703</v>
      </c>
      <c r="F80" s="221">
        <v>3180</v>
      </c>
      <c r="G80" s="221">
        <v>3004</v>
      </c>
      <c r="H80" s="221">
        <v>2605</v>
      </c>
    </row>
    <row r="81" spans="1:8" ht="14.4" thickBot="1" x14ac:dyDescent="0.3">
      <c r="A81" s="219" t="s">
        <v>368</v>
      </c>
      <c r="B81" s="220" t="s">
        <v>440</v>
      </c>
      <c r="C81" s="221">
        <v>736</v>
      </c>
      <c r="D81" s="221">
        <v>878</v>
      </c>
      <c r="E81" s="221">
        <v>654</v>
      </c>
      <c r="F81" s="221">
        <v>651</v>
      </c>
      <c r="G81" s="221">
        <v>535</v>
      </c>
      <c r="H81" s="221">
        <v>455</v>
      </c>
    </row>
    <row r="82" spans="1:8" ht="14.4" thickBot="1" x14ac:dyDescent="0.3">
      <c r="A82" s="219" t="s">
        <v>369</v>
      </c>
      <c r="B82" s="220" t="s">
        <v>443</v>
      </c>
      <c r="C82" s="221">
        <v>16780</v>
      </c>
      <c r="D82" s="221">
        <v>22727</v>
      </c>
      <c r="E82" s="221">
        <v>16595</v>
      </c>
      <c r="F82" s="221">
        <v>14024</v>
      </c>
      <c r="G82" s="221">
        <v>13313</v>
      </c>
      <c r="H82" s="221">
        <v>11422</v>
      </c>
    </row>
    <row r="83" spans="1:8" ht="12.6" thickBot="1" x14ac:dyDescent="0.3">
      <c r="A83" s="234"/>
      <c r="B83" s="226"/>
      <c r="C83" s="246"/>
      <c r="D83" s="246"/>
      <c r="E83" s="246"/>
      <c r="F83" s="246"/>
      <c r="G83" s="246"/>
      <c r="H83" s="221"/>
    </row>
    <row r="84" spans="1:8" ht="12.6" thickBot="1" x14ac:dyDescent="0.3">
      <c r="A84" s="234"/>
      <c r="B84" s="226"/>
      <c r="C84" s="246"/>
      <c r="D84" s="246"/>
      <c r="E84" s="246"/>
      <c r="F84" s="246"/>
      <c r="G84" s="246"/>
      <c r="H84" s="221"/>
    </row>
    <row r="85" spans="1:8" ht="12.6" thickBot="1" x14ac:dyDescent="0.3">
      <c r="A85" s="441" t="s">
        <v>57</v>
      </c>
      <c r="B85" s="442"/>
      <c r="C85" s="442"/>
      <c r="D85" s="442"/>
      <c r="E85" s="442"/>
      <c r="F85" s="442"/>
      <c r="G85" s="442"/>
      <c r="H85" s="443"/>
    </row>
    <row r="86" spans="1:8" ht="12.6" thickBot="1" x14ac:dyDescent="0.3">
      <c r="A86" s="216" t="s">
        <v>521</v>
      </c>
      <c r="B86" s="238"/>
      <c r="C86" s="239">
        <f>+C70</f>
        <v>5660.0820000000003</v>
      </c>
      <c r="D86" s="239">
        <f t="shared" ref="D86:H86" si="36">+D70</f>
        <v>7762.3920000000007</v>
      </c>
      <c r="E86" s="239">
        <f t="shared" si="36"/>
        <v>5628.1230000000005</v>
      </c>
      <c r="F86" s="239">
        <f t="shared" si="36"/>
        <v>4212</v>
      </c>
      <c r="G86" s="239">
        <f t="shared" si="36"/>
        <v>4623.3180000000002</v>
      </c>
      <c r="H86" s="239">
        <f t="shared" si="36"/>
        <v>3761.145</v>
      </c>
    </row>
    <row r="87" spans="1:8" ht="12.6" thickBot="1" x14ac:dyDescent="0.3">
      <c r="A87" s="216" t="s">
        <v>522</v>
      </c>
      <c r="B87" s="238"/>
      <c r="C87" s="239">
        <f>+C86*1.46*(Eficiencia!C90-Eficiencia!C89)/(2700-2654)</f>
        <v>1077.8764852173915</v>
      </c>
      <c r="D87" s="239">
        <f>+D86*1.46*(Eficiencia!D90-Eficiencia!D89)/(2700-2654)</f>
        <v>1478.2294330434784</v>
      </c>
      <c r="E87" s="239">
        <f>+E86*1.46*(Eficiencia!E90-Eficiencia!E89)/(2700-2654)</f>
        <v>1071.7903800000001</v>
      </c>
      <c r="F87" s="239">
        <f>+F86*1.46*(Eficiencia!F90-Eficiencia!F89)/(2700-2654)</f>
        <v>802.11130434782604</v>
      </c>
      <c r="G87" s="239">
        <f>+G86*1.46*(Eficiencia!G90-Eficiencia!G89)/(2700-2654)</f>
        <v>880.44055826086947</v>
      </c>
      <c r="H87" s="239">
        <f>+H86*1.46*(Eficiencia!H90-Eficiencia!H89)/(2700-2654)</f>
        <v>716.2528304347826</v>
      </c>
    </row>
    <row r="88" spans="1:8" ht="12.6" thickBot="1" x14ac:dyDescent="0.3">
      <c r="B88" s="238"/>
      <c r="C88" s="239">
        <f t="shared" ref="C88:H88" si="37">+C87/C4</f>
        <v>35.929216173913048</v>
      </c>
      <c r="D88" s="239">
        <f t="shared" si="37"/>
        <v>36.955735826086958</v>
      </c>
      <c r="E88" s="239">
        <f t="shared" si="37"/>
        <v>35.726346000000007</v>
      </c>
      <c r="F88" s="239">
        <f t="shared" si="37"/>
        <v>33.421304347826087</v>
      </c>
      <c r="G88" s="239">
        <f t="shared" si="37"/>
        <v>29.34801860869565</v>
      </c>
      <c r="H88" s="239">
        <f t="shared" si="37"/>
        <v>35.812641521739131</v>
      </c>
    </row>
    <row r="89" spans="1:8" ht="12.6" thickBot="1" x14ac:dyDescent="0.3">
      <c r="A89" s="216" t="s">
        <v>523</v>
      </c>
      <c r="B89" s="238"/>
      <c r="C89" s="239">
        <v>57.5</v>
      </c>
      <c r="D89" s="239">
        <v>57.5</v>
      </c>
      <c r="E89" s="239">
        <v>57.5</v>
      </c>
      <c r="F89" s="239">
        <v>57.5</v>
      </c>
      <c r="G89" s="239">
        <v>57.5</v>
      </c>
      <c r="H89" s="239">
        <v>57.5</v>
      </c>
    </row>
    <row r="90" spans="1:8" ht="12.6" thickBot="1" x14ac:dyDescent="0.3">
      <c r="A90" s="216" t="s">
        <v>524</v>
      </c>
      <c r="B90" s="238"/>
      <c r="C90" s="239">
        <v>63.5</v>
      </c>
      <c r="D90" s="239">
        <v>63.5</v>
      </c>
      <c r="E90" s="239">
        <v>63.5</v>
      </c>
      <c r="F90" s="239">
        <v>63.5</v>
      </c>
      <c r="G90" s="239">
        <v>63.5</v>
      </c>
      <c r="H90" s="239">
        <v>63.5</v>
      </c>
    </row>
    <row r="91" spans="1:8" ht="15" thickBot="1" x14ac:dyDescent="0.3">
      <c r="A91" s="219" t="s">
        <v>371</v>
      </c>
      <c r="B91" s="247" t="s">
        <v>427</v>
      </c>
      <c r="C91" s="221">
        <v>1514</v>
      </c>
      <c r="D91" s="221">
        <v>1701</v>
      </c>
      <c r="E91" s="221">
        <v>1427</v>
      </c>
      <c r="F91" s="221">
        <v>1127</v>
      </c>
      <c r="G91" s="221">
        <v>1100</v>
      </c>
      <c r="H91" s="221">
        <v>932</v>
      </c>
    </row>
    <row r="92" spans="1:8" ht="12.6" thickBot="1" x14ac:dyDescent="0.3">
      <c r="A92" s="219"/>
      <c r="B92" s="247"/>
      <c r="C92" s="245">
        <f>+C91*2750/3600</f>
        <v>1156.5277777777778</v>
      </c>
      <c r="D92" s="245">
        <f t="shared" ref="D92:H92" si="38">+D91*2750/3600</f>
        <v>1299.375</v>
      </c>
      <c r="E92" s="245">
        <f t="shared" si="38"/>
        <v>1090.0694444444443</v>
      </c>
      <c r="F92" s="245">
        <f t="shared" si="38"/>
        <v>860.90277777777783</v>
      </c>
      <c r="G92" s="245">
        <f t="shared" si="38"/>
        <v>840.27777777777783</v>
      </c>
      <c r="H92" s="245">
        <f t="shared" si="38"/>
        <v>711.94444444444446</v>
      </c>
    </row>
    <row r="93" spans="1:8" ht="12.6" thickBot="1" x14ac:dyDescent="0.3">
      <c r="A93" s="219"/>
      <c r="B93" s="247"/>
      <c r="C93" s="228">
        <f t="shared" ref="C93:H93" si="39">+C91/C4</f>
        <v>50.466666666666669</v>
      </c>
      <c r="D93" s="228">
        <f t="shared" si="39"/>
        <v>42.524999999999999</v>
      </c>
      <c r="E93" s="228">
        <f t="shared" si="39"/>
        <v>47.56666666666667</v>
      </c>
      <c r="F93" s="228">
        <f t="shared" si="39"/>
        <v>46.958333333333336</v>
      </c>
      <c r="G93" s="228">
        <f t="shared" si="39"/>
        <v>36.666666666666664</v>
      </c>
      <c r="H93" s="228">
        <f t="shared" si="39"/>
        <v>46.6</v>
      </c>
    </row>
    <row r="94" spans="1:8" ht="12.6" thickBot="1" x14ac:dyDescent="0.3">
      <c r="A94" s="219" t="s">
        <v>372</v>
      </c>
      <c r="B94" s="247" t="s">
        <v>360</v>
      </c>
      <c r="C94" s="221">
        <v>50</v>
      </c>
      <c r="D94" s="221">
        <v>52</v>
      </c>
      <c r="E94" s="221">
        <v>55</v>
      </c>
      <c r="F94" s="221">
        <v>52</v>
      </c>
      <c r="G94" s="221">
        <v>50</v>
      </c>
      <c r="H94" s="221">
        <v>55</v>
      </c>
    </row>
    <row r="95" spans="1:8" ht="12.6" thickBot="1" x14ac:dyDescent="0.3">
      <c r="A95" s="234"/>
      <c r="B95" s="248"/>
      <c r="C95" s="246"/>
      <c r="D95" s="246"/>
      <c r="E95" s="246"/>
      <c r="F95" s="246"/>
      <c r="G95" s="246"/>
      <c r="H95" s="221"/>
    </row>
    <row r="96" spans="1:8" ht="12.6" thickBot="1" x14ac:dyDescent="0.3">
      <c r="A96" s="234"/>
      <c r="B96" s="248"/>
      <c r="C96" s="244">
        <f>+C88/C93</f>
        <v>0.71193955430474998</v>
      </c>
      <c r="D96" s="244">
        <f t="shared" ref="D96:H96" si="40">+D88/D93</f>
        <v>0.86903552795031058</v>
      </c>
      <c r="E96" s="244">
        <f t="shared" si="40"/>
        <v>0.75107945339873872</v>
      </c>
      <c r="F96" s="244">
        <f t="shared" si="40"/>
        <v>0.71172254156861225</v>
      </c>
      <c r="G96" s="244">
        <f t="shared" si="40"/>
        <v>0.80040050750988145</v>
      </c>
      <c r="H96" s="244">
        <f t="shared" si="40"/>
        <v>0.76851162063817879</v>
      </c>
    </row>
    <row r="97" spans="1:11" ht="12.6" thickBot="1" x14ac:dyDescent="0.3">
      <c r="A97" s="441" t="s">
        <v>444</v>
      </c>
      <c r="B97" s="442"/>
      <c r="C97" s="442"/>
      <c r="D97" s="442"/>
      <c r="E97" s="442"/>
      <c r="F97" s="442"/>
      <c r="G97" s="442"/>
      <c r="H97" s="443"/>
    </row>
    <row r="98" spans="1:11" ht="12.6" thickBot="1" x14ac:dyDescent="0.3">
      <c r="A98" s="234" t="s">
        <v>525</v>
      </c>
      <c r="B98" s="238"/>
      <c r="C98" s="226">
        <f>+C57</f>
        <v>3600</v>
      </c>
      <c r="D98" s="226">
        <f t="shared" ref="D98:H98" si="41">+D57</f>
        <v>4960</v>
      </c>
      <c r="E98" s="226">
        <f t="shared" si="41"/>
        <v>3810</v>
      </c>
      <c r="F98" s="226">
        <f t="shared" si="41"/>
        <v>3096</v>
      </c>
      <c r="G98" s="226">
        <f t="shared" si="41"/>
        <v>3930</v>
      </c>
      <c r="H98" s="226">
        <f t="shared" si="41"/>
        <v>2500</v>
      </c>
      <c r="K98" s="216">
        <f>16.36/1000</f>
        <v>1.636E-2</v>
      </c>
    </row>
    <row r="99" spans="1:11" ht="12.6" thickBot="1" x14ac:dyDescent="0.3">
      <c r="A99" s="219" t="s">
        <v>377</v>
      </c>
      <c r="B99" s="220" t="s">
        <v>314</v>
      </c>
      <c r="C99" s="221">
        <v>16</v>
      </c>
      <c r="D99" s="221">
        <v>16</v>
      </c>
      <c r="E99" s="221">
        <v>16</v>
      </c>
      <c r="F99" s="221">
        <v>16</v>
      </c>
      <c r="G99" s="221">
        <v>16</v>
      </c>
      <c r="H99" s="221">
        <v>16</v>
      </c>
      <c r="K99" s="216">
        <f>24750/6150</f>
        <v>4.024390243902439</v>
      </c>
    </row>
    <row r="100" spans="1:11" ht="12.6" thickBot="1" x14ac:dyDescent="0.3">
      <c r="A100" s="219" t="s">
        <v>526</v>
      </c>
      <c r="B100" s="220" t="s">
        <v>0</v>
      </c>
      <c r="C100" s="245">
        <f t="shared" ref="C100:H100" si="42">+C99*C98/100</f>
        <v>576</v>
      </c>
      <c r="D100" s="245">
        <f t="shared" si="42"/>
        <v>793.6</v>
      </c>
      <c r="E100" s="245">
        <f t="shared" si="42"/>
        <v>609.6</v>
      </c>
      <c r="F100" s="245">
        <f t="shared" si="42"/>
        <v>495.36</v>
      </c>
      <c r="G100" s="245">
        <f t="shared" si="42"/>
        <v>628.79999999999995</v>
      </c>
      <c r="H100" s="245">
        <f t="shared" si="42"/>
        <v>400</v>
      </c>
      <c r="K100" s="216">
        <f>+K99*1.13/(0.016+1)</f>
        <v>4.4759458421355864</v>
      </c>
    </row>
    <row r="101" spans="1:11" ht="12.6" thickBot="1" x14ac:dyDescent="0.3">
      <c r="A101" s="219"/>
      <c r="B101" s="220"/>
      <c r="C101" s="228" t="s">
        <v>14</v>
      </c>
      <c r="D101" s="228">
        <f>+D109/D4</f>
        <v>53.924999999999997</v>
      </c>
      <c r="E101" s="228">
        <f>+E109/E4</f>
        <v>51.866666666666667</v>
      </c>
      <c r="F101" s="228">
        <f>+F109/F4</f>
        <v>50.833333333333336</v>
      </c>
      <c r="G101" s="228">
        <f>+G109/G4</f>
        <v>42.866666666666667</v>
      </c>
      <c r="H101" s="228">
        <f>+H109/H4</f>
        <v>49.6</v>
      </c>
      <c r="K101" s="216">
        <f>4.54-K99</f>
        <v>0.51560975609756099</v>
      </c>
    </row>
    <row r="102" spans="1:11" ht="12.6" thickBot="1" x14ac:dyDescent="0.3">
      <c r="A102" s="219" t="s">
        <v>598</v>
      </c>
      <c r="B102" s="220"/>
      <c r="C102" s="228">
        <f>0.84/0.95*C98</f>
        <v>3183.1578947368421</v>
      </c>
      <c r="D102" s="228">
        <f t="shared" ref="D102:H102" si="43">0.84/0.95*D98</f>
        <v>4385.6842105263158</v>
      </c>
      <c r="E102" s="228">
        <f t="shared" si="43"/>
        <v>3368.8421052631579</v>
      </c>
      <c r="F102" s="228">
        <f t="shared" si="43"/>
        <v>2737.515789473684</v>
      </c>
      <c r="G102" s="228">
        <f t="shared" si="43"/>
        <v>3474.9473684210525</v>
      </c>
      <c r="H102" s="228">
        <f t="shared" si="43"/>
        <v>2210.5263157894738</v>
      </c>
    </row>
    <row r="103" spans="1:11" ht="12.6" thickBot="1" x14ac:dyDescent="0.3">
      <c r="A103" s="219" t="s">
        <v>374</v>
      </c>
      <c r="B103" s="220"/>
      <c r="C103" s="228">
        <f>+C98*3.5</f>
        <v>12600</v>
      </c>
      <c r="D103" s="228">
        <f>+D98*3.2</f>
        <v>15872</v>
      </c>
      <c r="E103" s="228">
        <f t="shared" ref="E103:H103" si="44">+E98*3.5</f>
        <v>13335</v>
      </c>
      <c r="F103" s="228">
        <f t="shared" si="44"/>
        <v>10836</v>
      </c>
      <c r="G103" s="228">
        <f t="shared" si="44"/>
        <v>13755</v>
      </c>
      <c r="H103" s="228">
        <f t="shared" si="44"/>
        <v>8750</v>
      </c>
      <c r="I103" s="216">
        <v>1.6E-2</v>
      </c>
    </row>
    <row r="104" spans="1:11" ht="12.6" thickBot="1" x14ac:dyDescent="0.3">
      <c r="A104" s="219" t="s">
        <v>593</v>
      </c>
      <c r="B104" s="220"/>
      <c r="C104" s="228">
        <f>+(C103/($I$103+1))</f>
        <v>12401.574803149606</v>
      </c>
      <c r="D104" s="228">
        <f t="shared" ref="D104:H104" si="45">+(D103/($I$103+1))</f>
        <v>15622.047244094489</v>
      </c>
      <c r="E104" s="228">
        <f t="shared" si="45"/>
        <v>13125</v>
      </c>
      <c r="F104" s="228">
        <f t="shared" si="45"/>
        <v>10665.354330708662</v>
      </c>
      <c r="G104" s="228">
        <f t="shared" si="45"/>
        <v>13538.385826771653</v>
      </c>
      <c r="H104" s="228">
        <f t="shared" si="45"/>
        <v>8612.2047244094483</v>
      </c>
    </row>
    <row r="105" spans="1:11" ht="12.6" thickBot="1" x14ac:dyDescent="0.3">
      <c r="A105" s="219" t="s">
        <v>594</v>
      </c>
      <c r="B105" s="220"/>
      <c r="C105" s="228">
        <f>+C103-C104</f>
        <v>198.42519685039406</v>
      </c>
      <c r="D105" s="228">
        <f t="shared" ref="D105:H105" si="46">+D103-D104</f>
        <v>249.95275590551137</v>
      </c>
      <c r="E105" s="228">
        <f t="shared" si="46"/>
        <v>210</v>
      </c>
      <c r="F105" s="228">
        <f t="shared" si="46"/>
        <v>170.64566929133798</v>
      </c>
      <c r="G105" s="228">
        <f t="shared" si="46"/>
        <v>216.61417322834677</v>
      </c>
      <c r="H105" s="228">
        <f t="shared" si="46"/>
        <v>137.79527559055168</v>
      </c>
      <c r="I105" s="216">
        <f>+H105/H104</f>
        <v>1.6000000000000059E-2</v>
      </c>
    </row>
    <row r="106" spans="1:11" ht="12.6" thickBot="1" x14ac:dyDescent="0.3">
      <c r="A106" s="219" t="s">
        <v>595</v>
      </c>
      <c r="B106" s="220"/>
      <c r="C106" s="228">
        <f>+C98-C102</f>
        <v>416.84210526315792</v>
      </c>
      <c r="D106" s="228">
        <f t="shared" ref="D106:H106" si="47">+D98-D102</f>
        <v>574.31578947368416</v>
      </c>
      <c r="E106" s="228">
        <f t="shared" si="47"/>
        <v>441.15789473684208</v>
      </c>
      <c r="F106" s="228">
        <f t="shared" si="47"/>
        <v>358.48421052631602</v>
      </c>
      <c r="G106" s="228">
        <f t="shared" si="47"/>
        <v>455.05263157894751</v>
      </c>
      <c r="H106" s="228">
        <f t="shared" si="47"/>
        <v>289.47368421052624</v>
      </c>
      <c r="I106" s="264">
        <f>+H106/H104</f>
        <v>3.3612030075187961E-2</v>
      </c>
    </row>
    <row r="107" spans="1:11" ht="12.6" thickBot="1" x14ac:dyDescent="0.3">
      <c r="A107" s="219" t="s">
        <v>597</v>
      </c>
      <c r="B107" s="220"/>
      <c r="C107" s="245">
        <f>+C104+C106</f>
        <v>12818.416908412764</v>
      </c>
      <c r="D107" s="245">
        <f t="shared" ref="D107:H107" si="48">+D104+D106</f>
        <v>16196.363033568174</v>
      </c>
      <c r="E107" s="245">
        <f t="shared" si="48"/>
        <v>13566.157894736842</v>
      </c>
      <c r="F107" s="245">
        <f t="shared" si="48"/>
        <v>11023.838541234978</v>
      </c>
      <c r="G107" s="245">
        <f t="shared" si="48"/>
        <v>13993.4384583506</v>
      </c>
      <c r="H107" s="245">
        <f t="shared" si="48"/>
        <v>8901.678408619975</v>
      </c>
      <c r="I107" s="264"/>
    </row>
    <row r="108" spans="1:11" ht="12.6" thickBot="1" x14ac:dyDescent="0.3">
      <c r="A108" s="219" t="s">
        <v>592</v>
      </c>
      <c r="B108" s="220"/>
      <c r="C108" s="240">
        <f>+C106/C104</f>
        <v>3.3612030075187975E-2</v>
      </c>
      <c r="D108" s="240">
        <f t="shared" ref="D108:H108" si="49">+D106/D104</f>
        <v>3.6763157894736838E-2</v>
      </c>
      <c r="E108" s="240">
        <f t="shared" si="49"/>
        <v>3.3612030075187968E-2</v>
      </c>
      <c r="F108" s="240">
        <f t="shared" si="49"/>
        <v>3.3612030075187989E-2</v>
      </c>
      <c r="G108" s="240">
        <f t="shared" si="49"/>
        <v>3.3612030075187982E-2</v>
      </c>
      <c r="H108" s="240">
        <f t="shared" si="49"/>
        <v>3.3612030075187961E-2</v>
      </c>
      <c r="K108" s="216">
        <f>4.54/1.016</f>
        <v>4.4685039370078741</v>
      </c>
    </row>
    <row r="109" spans="1:11" ht="14.4" thickBot="1" x14ac:dyDescent="0.3">
      <c r="A109" s="219" t="s">
        <v>373</v>
      </c>
      <c r="B109" s="220" t="s">
        <v>427</v>
      </c>
      <c r="C109" s="221">
        <v>1615</v>
      </c>
      <c r="D109" s="221">
        <v>2157</v>
      </c>
      <c r="E109" s="221">
        <v>1556</v>
      </c>
      <c r="F109" s="221">
        <v>1220</v>
      </c>
      <c r="G109" s="221">
        <v>1286</v>
      </c>
      <c r="H109" s="221">
        <v>992</v>
      </c>
      <c r="K109" s="216">
        <f>4.54-4.468</f>
        <v>7.2000000000000064E-2</v>
      </c>
    </row>
    <row r="110" spans="1:11" ht="12.6" thickBot="1" x14ac:dyDescent="0.3">
      <c r="A110" s="270"/>
      <c r="B110" s="220"/>
      <c r="C110" s="245">
        <f>+C109*0.763888888888889</f>
        <v>1233.6805555555557</v>
      </c>
      <c r="D110" s="245">
        <f t="shared" ref="D110:H110" si="50">+D109*0.763888888888889</f>
        <v>1647.7083333333335</v>
      </c>
      <c r="E110" s="245">
        <f t="shared" si="50"/>
        <v>1188.6111111111113</v>
      </c>
      <c r="F110" s="245">
        <f t="shared" si="50"/>
        <v>931.94444444444457</v>
      </c>
      <c r="G110" s="245">
        <f t="shared" si="50"/>
        <v>982.3611111111112</v>
      </c>
      <c r="H110" s="245">
        <f t="shared" si="50"/>
        <v>757.77777777777783</v>
      </c>
    </row>
    <row r="111" spans="1:11" ht="12.6" thickBot="1" x14ac:dyDescent="0.3">
      <c r="A111" s="270"/>
      <c r="B111" s="220"/>
      <c r="C111" s="245">
        <f t="shared" ref="C111:H111" si="51">+C109/C4</f>
        <v>53.833333333333336</v>
      </c>
      <c r="D111" s="245">
        <f t="shared" si="51"/>
        <v>53.924999999999997</v>
      </c>
      <c r="E111" s="245">
        <f t="shared" si="51"/>
        <v>51.866666666666667</v>
      </c>
      <c r="F111" s="245">
        <f t="shared" si="51"/>
        <v>50.833333333333336</v>
      </c>
      <c r="G111" s="245">
        <f t="shared" si="51"/>
        <v>42.866666666666667</v>
      </c>
      <c r="H111" s="245">
        <f t="shared" si="51"/>
        <v>49.6</v>
      </c>
    </row>
    <row r="112" spans="1:11" ht="15" thickBot="1" x14ac:dyDescent="0.4">
      <c r="A112" s="262" t="s">
        <v>591</v>
      </c>
      <c r="B112" s="220"/>
      <c r="C112" s="221">
        <v>30</v>
      </c>
      <c r="D112" s="221">
        <v>30</v>
      </c>
      <c r="E112" s="221">
        <v>30</v>
      </c>
      <c r="F112" s="221">
        <v>30</v>
      </c>
      <c r="G112" s="221">
        <v>30</v>
      </c>
      <c r="H112" s="221">
        <v>30</v>
      </c>
      <c r="K112" s="216">
        <f>0.05*0.84/0.95</f>
        <v>4.4210526315789478E-2</v>
      </c>
    </row>
    <row r="113" spans="1:11" ht="15" thickBot="1" x14ac:dyDescent="0.4">
      <c r="A113" s="262" t="s">
        <v>589</v>
      </c>
      <c r="B113" s="220"/>
      <c r="C113" s="221">
        <v>50</v>
      </c>
      <c r="D113" s="221">
        <v>50</v>
      </c>
      <c r="E113" s="221">
        <v>50</v>
      </c>
      <c r="F113" s="221">
        <v>50</v>
      </c>
      <c r="G113" s="221">
        <v>50</v>
      </c>
      <c r="H113" s="221">
        <v>50</v>
      </c>
      <c r="K113" s="216">
        <f>0.16-K112+0.07</f>
        <v>0.18578947368421053</v>
      </c>
    </row>
    <row r="114" spans="1:11" ht="15" thickBot="1" x14ac:dyDescent="0.4">
      <c r="A114" s="262" t="s">
        <v>590</v>
      </c>
      <c r="B114" s="220"/>
      <c r="C114" s="221">
        <v>80</v>
      </c>
      <c r="D114" s="221">
        <v>80</v>
      </c>
      <c r="E114" s="221">
        <v>80</v>
      </c>
      <c r="F114" s="221">
        <v>80</v>
      </c>
      <c r="G114" s="221">
        <v>80</v>
      </c>
      <c r="H114" s="221">
        <v>80</v>
      </c>
    </row>
    <row r="115" spans="1:11" ht="15" thickBot="1" x14ac:dyDescent="0.4">
      <c r="A115" s="262" t="s">
        <v>585</v>
      </c>
      <c r="B115" s="220"/>
      <c r="C115" s="245">
        <f>((((100-C99)/100*Biomass!$P$41)+(C99/100)*4.18))*(C112+273)</f>
        <v>644.23859999999991</v>
      </c>
      <c r="D115" s="245">
        <f>((((100-D99)/100*Biomass!$P$41)+(D99/100)*4.18))*(D112+273)</f>
        <v>644.23859999999991</v>
      </c>
      <c r="E115" s="245">
        <f>((((100-E99)/100*Biomass!$P$41)+(E99/100)*4.18))*(E112+273)</f>
        <v>644.23859999999991</v>
      </c>
      <c r="F115" s="245">
        <f>((((100-F99)/100*Biomass!$P$41)+(F99/100)*4.18))*(F112+273)</f>
        <v>644.23859999999991</v>
      </c>
      <c r="G115" s="245">
        <f>((((100-G99)/100*Biomass!$P$41)+(G99/100)*4.18))*(G112+273)</f>
        <v>644.23859999999991</v>
      </c>
      <c r="H115" s="245">
        <f>((((100-H99)/100*Biomass!$P$41)+(H99/100)*4.18))*(H112+273)</f>
        <v>644.23859999999991</v>
      </c>
    </row>
    <row r="116" spans="1:11" ht="15" thickBot="1" x14ac:dyDescent="0.4">
      <c r="A116" s="262" t="s">
        <v>588</v>
      </c>
      <c r="B116" s="220"/>
      <c r="C116" s="245">
        <f>+((1.005+(1.88*($I$105))))+($I$105*(2430))</f>
        <v>39.915080000000145</v>
      </c>
      <c r="D116" s="245">
        <f t="shared" ref="D116:H116" si="52">+((1.005+(1.88*($I$105))))+($I$105*(2430))</f>
        <v>39.915080000000145</v>
      </c>
      <c r="E116" s="245">
        <f t="shared" si="52"/>
        <v>39.915080000000145</v>
      </c>
      <c r="F116" s="245">
        <f t="shared" si="52"/>
        <v>39.915080000000145</v>
      </c>
      <c r="G116" s="245">
        <f t="shared" si="52"/>
        <v>39.915080000000145</v>
      </c>
      <c r="H116" s="245">
        <f t="shared" si="52"/>
        <v>39.915080000000145</v>
      </c>
    </row>
    <row r="117" spans="1:11" ht="15" thickBot="1" x14ac:dyDescent="0.4">
      <c r="A117" s="262" t="s">
        <v>586</v>
      </c>
      <c r="B117" s="220"/>
      <c r="C117" s="245">
        <f>((0.95*Biomass!$P$41)+(0.05*4.18))*(C113+273)</f>
        <v>599.89175</v>
      </c>
      <c r="D117" s="245">
        <f>((0.95*Biomass!$P$41)+(0.05*4.18))*(D113+273)</f>
        <v>599.89175</v>
      </c>
      <c r="E117" s="245">
        <f>((0.95*Biomass!$P$41)+(0.05*4.18))*(E113+273)</f>
        <v>599.89175</v>
      </c>
      <c r="F117" s="245">
        <f>((0.95*Biomass!$P$41)+(0.05*4.18))*(F113+273)</f>
        <v>599.89175</v>
      </c>
      <c r="G117" s="245">
        <f>((0.95*Biomass!$P$41)+(0.05*4.18))*(G113+273)</f>
        <v>599.89175</v>
      </c>
      <c r="H117" s="245">
        <f>((0.95*Biomass!$P$41)+(0.05*4.18))*(H113+273)</f>
        <v>599.89175</v>
      </c>
    </row>
    <row r="118" spans="1:11" ht="15" thickBot="1" x14ac:dyDescent="0.4">
      <c r="A118" s="262" t="s">
        <v>587</v>
      </c>
      <c r="B118" s="220"/>
      <c r="C118" s="245">
        <f>+((1.005+(1.88*($C$108))))+($C$108*(2308))</f>
        <v>78.6447560300752</v>
      </c>
      <c r="D118" s="245">
        <f t="shared" ref="D118:H118" si="53">+((1.005+(1.88*($I$106))))+($I$106*(2308))</f>
        <v>78.644756030075172</v>
      </c>
      <c r="E118" s="245">
        <f t="shared" si="53"/>
        <v>78.644756030075172</v>
      </c>
      <c r="F118" s="245">
        <f t="shared" si="53"/>
        <v>78.644756030075172</v>
      </c>
      <c r="G118" s="245">
        <f t="shared" si="53"/>
        <v>78.644756030075172</v>
      </c>
      <c r="H118" s="245">
        <f t="shared" si="53"/>
        <v>78.644756030075172</v>
      </c>
    </row>
    <row r="119" spans="1:11" ht="15" thickBot="1" x14ac:dyDescent="0.4">
      <c r="A119" s="262" t="s">
        <v>596</v>
      </c>
      <c r="B119" s="220"/>
      <c r="C119" s="245">
        <f t="shared" ref="C119:H119" si="54">+((C118*C107)+(C117*C102)-(C116*C103)-(C115*C98))</f>
        <v>95462.462453911081</v>
      </c>
      <c r="D119" s="245">
        <f t="shared" si="54"/>
        <v>75739.189589495771</v>
      </c>
      <c r="E119" s="245">
        <f t="shared" si="54"/>
        <v>101031.1060970556</v>
      </c>
      <c r="F119" s="245">
        <f t="shared" si="54"/>
        <v>82097.717710363446</v>
      </c>
      <c r="G119" s="245">
        <f t="shared" si="54"/>
        <v>104213.1881788522</v>
      </c>
      <c r="H119" s="245">
        <f t="shared" si="54"/>
        <v>66293.37670410471</v>
      </c>
    </row>
    <row r="120" spans="1:11" ht="12.6" thickBot="1" x14ac:dyDescent="0.3">
      <c r="A120" s="262" t="s">
        <v>599</v>
      </c>
      <c r="B120" s="220"/>
      <c r="C120" s="245">
        <f>+C119/(2750-600)</f>
        <v>44.401145327400499</v>
      </c>
      <c r="D120" s="245">
        <f t="shared" ref="D120:H120" si="55">+D119/(2750-500)</f>
        <v>33.661862039775897</v>
      </c>
      <c r="E120" s="245">
        <f t="shared" si="55"/>
        <v>44.902713820913597</v>
      </c>
      <c r="F120" s="245">
        <f t="shared" si="55"/>
        <v>36.487874537939312</v>
      </c>
      <c r="G120" s="245">
        <f t="shared" si="55"/>
        <v>46.316972523934311</v>
      </c>
      <c r="H120" s="245">
        <f t="shared" si="55"/>
        <v>29.463722979602093</v>
      </c>
    </row>
    <row r="121" spans="1:11" ht="12.6" thickBot="1" x14ac:dyDescent="0.3">
      <c r="A121" s="262"/>
      <c r="B121" s="220"/>
      <c r="C121" s="271">
        <f>+C120/C111</f>
        <v>0.82478907728917328</v>
      </c>
      <c r="D121" s="271">
        <f t="shared" ref="D121:H121" si="56">+D120/D111</f>
        <v>0.62423480834076772</v>
      </c>
      <c r="E121" s="271">
        <f t="shared" si="56"/>
        <v>0.86573355695848841</v>
      </c>
      <c r="F121" s="271">
        <f t="shared" si="56"/>
        <v>0.7177942532053635</v>
      </c>
      <c r="G121" s="271">
        <f t="shared" si="56"/>
        <v>1.0804892501695407</v>
      </c>
      <c r="H121" s="271">
        <f t="shared" si="56"/>
        <v>0.59402667297584866</v>
      </c>
    </row>
    <row r="122" spans="1:11" ht="14.4" thickBot="1" x14ac:dyDescent="0.3">
      <c r="A122" s="219" t="s">
        <v>374</v>
      </c>
      <c r="B122" s="220" t="s">
        <v>445</v>
      </c>
      <c r="C122" s="221"/>
      <c r="D122" s="221"/>
      <c r="E122" s="221"/>
      <c r="F122" s="221"/>
      <c r="G122" s="221"/>
      <c r="H122" s="221"/>
    </row>
    <row r="123" spans="1:11" ht="12.6" thickBot="1" x14ac:dyDescent="0.3">
      <c r="A123" s="219" t="s">
        <v>376</v>
      </c>
      <c r="B123" s="220" t="s">
        <v>360</v>
      </c>
      <c r="C123" s="221">
        <v>50</v>
      </c>
      <c r="D123" s="221">
        <v>55</v>
      </c>
      <c r="E123" s="221">
        <v>60</v>
      </c>
      <c r="F123" s="221">
        <v>50</v>
      </c>
      <c r="G123" s="221">
        <v>55</v>
      </c>
      <c r="H123" s="221">
        <v>60</v>
      </c>
    </row>
    <row r="124" spans="1:11" ht="12.6" thickBot="1" x14ac:dyDescent="0.3">
      <c r="J124" s="216">
        <f>+(376-121)/(2750-600)</f>
        <v>0.1186046511627907</v>
      </c>
    </row>
    <row r="125" spans="1:11" ht="12.6" thickBot="1" x14ac:dyDescent="0.3">
      <c r="A125" s="441" t="s">
        <v>446</v>
      </c>
      <c r="B125" s="442"/>
      <c r="C125" s="442"/>
      <c r="D125" s="442"/>
      <c r="E125" s="442"/>
      <c r="F125" s="442"/>
      <c r="G125" s="442"/>
      <c r="H125" s="443"/>
    </row>
    <row r="126" spans="1:11" ht="14.4" thickBot="1" x14ac:dyDescent="0.3">
      <c r="A126" s="219" t="s">
        <v>309</v>
      </c>
      <c r="B126" s="220" t="s">
        <v>447</v>
      </c>
      <c r="C126" s="221">
        <v>9189</v>
      </c>
      <c r="D126" s="221">
        <v>8496</v>
      </c>
      <c r="E126" s="221">
        <v>7992</v>
      </c>
      <c r="F126" s="221">
        <v>7519</v>
      </c>
      <c r="G126" s="221">
        <v>3444</v>
      </c>
      <c r="H126" s="221">
        <v>2703</v>
      </c>
    </row>
    <row r="127" spans="1:11" ht="12.6" thickBot="1" x14ac:dyDescent="0.3">
      <c r="A127" s="219"/>
      <c r="B127" s="220" t="s">
        <v>416</v>
      </c>
      <c r="C127" s="245">
        <f t="shared" ref="C127:H127" si="57">+C126/C6*1000</f>
        <v>1800</v>
      </c>
      <c r="D127" s="245">
        <f t="shared" si="57"/>
        <v>1648.1086323957325</v>
      </c>
      <c r="E127" s="245">
        <f t="shared" si="57"/>
        <v>1350</v>
      </c>
      <c r="F127" s="245">
        <f t="shared" si="57"/>
        <v>1368.0858806404658</v>
      </c>
      <c r="G127" s="245">
        <f t="shared" si="57"/>
        <v>1094.375595805529</v>
      </c>
      <c r="H127" s="245">
        <f t="shared" si="57"/>
        <v>1399.7928534438115</v>
      </c>
    </row>
    <row r="128" spans="1:11" ht="12.6" thickBot="1" x14ac:dyDescent="0.3">
      <c r="A128" s="219"/>
      <c r="B128" s="220"/>
      <c r="C128" s="245">
        <f t="shared" ref="C128:H128" si="58">+C127/C4</f>
        <v>60</v>
      </c>
      <c r="D128" s="245">
        <f t="shared" si="58"/>
        <v>41.202715809893313</v>
      </c>
      <c r="E128" s="245">
        <f t="shared" si="58"/>
        <v>45</v>
      </c>
      <c r="F128" s="245">
        <f t="shared" si="58"/>
        <v>57.003578360019411</v>
      </c>
      <c r="G128" s="245">
        <f t="shared" si="58"/>
        <v>36.479186526850967</v>
      </c>
      <c r="H128" s="245">
        <f t="shared" si="58"/>
        <v>69.98964267219057</v>
      </c>
      <c r="I128" s="233">
        <f>+MEDIAN(C128:H128)</f>
        <v>51.001789180009709</v>
      </c>
    </row>
    <row r="129" spans="1:9" ht="14.4" thickBot="1" x14ac:dyDescent="0.3">
      <c r="A129" s="219" t="s">
        <v>379</v>
      </c>
      <c r="B129" s="220" t="s">
        <v>448</v>
      </c>
      <c r="C129" s="221">
        <v>7636</v>
      </c>
      <c r="D129" s="221">
        <v>10292</v>
      </c>
      <c r="E129" s="221">
        <v>7926</v>
      </c>
      <c r="F129" s="221">
        <v>5576</v>
      </c>
      <c r="G129" s="221">
        <v>2803</v>
      </c>
      <c r="H129" s="221">
        <v>2177</v>
      </c>
    </row>
    <row r="130" spans="1:9" ht="12.6" thickBot="1" x14ac:dyDescent="0.3">
      <c r="A130" s="234"/>
      <c r="B130" s="220" t="s">
        <v>416</v>
      </c>
      <c r="C130" s="230">
        <f t="shared" ref="C130:H130" si="59">+C129/C6*1000</f>
        <v>1495.7884427032322</v>
      </c>
      <c r="D130" s="230">
        <f t="shared" si="59"/>
        <v>1996.5082444228904</v>
      </c>
      <c r="E130" s="230">
        <f t="shared" si="59"/>
        <v>1338.8513513513515</v>
      </c>
      <c r="F130" s="230">
        <f t="shared" si="59"/>
        <v>1014.5560407569141</v>
      </c>
      <c r="G130" s="230">
        <f t="shared" si="59"/>
        <v>890.68954559898316</v>
      </c>
      <c r="H130" s="230">
        <f t="shared" si="59"/>
        <v>1127.3951320559297</v>
      </c>
    </row>
    <row r="131" spans="1:9" ht="12.6" thickBot="1" x14ac:dyDescent="0.3">
      <c r="A131" s="234" t="s">
        <v>633</v>
      </c>
      <c r="B131" s="226"/>
      <c r="C131" s="230"/>
      <c r="D131" s="230">
        <f>0.43*D130</f>
        <v>858.49854510184286</v>
      </c>
      <c r="E131" s="230">
        <f>0.41*E130</f>
        <v>548.92905405405406</v>
      </c>
      <c r="F131" s="230">
        <f>0.41*F130</f>
        <v>415.96797671033477</v>
      </c>
      <c r="G131" s="230">
        <f>0.44*G130</f>
        <v>391.90340006355257</v>
      </c>
      <c r="H131" s="230">
        <f>0.39*H130</f>
        <v>439.68410150181262</v>
      </c>
    </row>
    <row r="132" spans="1:9" ht="12.6" thickBot="1" x14ac:dyDescent="0.3">
      <c r="A132" s="234"/>
      <c r="B132" s="226"/>
      <c r="C132" s="230">
        <f t="shared" ref="C132:H132" si="60">+C131/C4</f>
        <v>0</v>
      </c>
      <c r="D132" s="230">
        <f t="shared" si="60"/>
        <v>21.462463627546072</v>
      </c>
      <c r="E132" s="230">
        <f t="shared" si="60"/>
        <v>18.297635135135135</v>
      </c>
      <c r="F132" s="230">
        <f t="shared" si="60"/>
        <v>17.331999029597281</v>
      </c>
      <c r="G132" s="230">
        <f t="shared" si="60"/>
        <v>13.063446668785085</v>
      </c>
      <c r="H132" s="230">
        <f t="shared" si="60"/>
        <v>21.984205075090632</v>
      </c>
      <c r="I132" s="233">
        <f>+MEDIAN(D132:H132)</f>
        <v>18.297635135135135</v>
      </c>
    </row>
    <row r="133" spans="1:9" ht="12.6" thickBot="1" x14ac:dyDescent="0.3">
      <c r="A133" s="234" t="s">
        <v>634</v>
      </c>
      <c r="B133" s="226"/>
      <c r="C133" s="230"/>
      <c r="D133" s="230">
        <f>+D130-D131</f>
        <v>1138.0096993210475</v>
      </c>
      <c r="E133" s="230">
        <f>+E130-E131</f>
        <v>789.9222972972974</v>
      </c>
      <c r="F133" s="230">
        <f>+F130-F131</f>
        <v>598.58806404657935</v>
      </c>
      <c r="G133" s="230">
        <f>+G130-G131</f>
        <v>498.78614553543059</v>
      </c>
      <c r="H133" s="230">
        <f>+H130-H131</f>
        <v>687.71103055411709</v>
      </c>
    </row>
    <row r="134" spans="1:9" ht="12.6" thickBot="1" x14ac:dyDescent="0.3">
      <c r="A134" s="234"/>
      <c r="B134" s="226"/>
      <c r="C134" s="230">
        <f t="shared" ref="C134:H134" si="61">+C133/C4</f>
        <v>0</v>
      </c>
      <c r="D134" s="230">
        <f t="shared" si="61"/>
        <v>28.450242483026187</v>
      </c>
      <c r="E134" s="230">
        <f t="shared" si="61"/>
        <v>26.330743243243248</v>
      </c>
      <c r="F134" s="230">
        <f t="shared" si="61"/>
        <v>24.941169335274139</v>
      </c>
      <c r="G134" s="230">
        <f t="shared" si="61"/>
        <v>16.626204851181019</v>
      </c>
      <c r="H134" s="230">
        <f t="shared" si="61"/>
        <v>34.385551527705857</v>
      </c>
      <c r="I134" s="233">
        <f>+MEDIAN(D134:H134)</f>
        <v>26.330743243243248</v>
      </c>
    </row>
    <row r="135" spans="1:9" ht="12.6" thickBot="1" x14ac:dyDescent="0.3">
      <c r="A135" s="441" t="s">
        <v>449</v>
      </c>
      <c r="B135" s="442"/>
      <c r="C135" s="442"/>
      <c r="D135" s="442"/>
      <c r="E135" s="442"/>
      <c r="F135" s="442"/>
      <c r="G135" s="442"/>
      <c r="H135" s="443"/>
    </row>
    <row r="136" spans="1:9" ht="14.4" thickBot="1" x14ac:dyDescent="0.3">
      <c r="A136" s="219" t="s">
        <v>381</v>
      </c>
      <c r="B136" s="220" t="s">
        <v>582</v>
      </c>
      <c r="C136" s="221">
        <v>461.4</v>
      </c>
      <c r="D136" s="221">
        <v>476.2</v>
      </c>
      <c r="E136" s="221">
        <v>824</v>
      </c>
      <c r="F136" s="221">
        <v>411.6</v>
      </c>
      <c r="G136" s="221">
        <v>534</v>
      </c>
      <c r="H136" s="221">
        <v>486</v>
      </c>
    </row>
    <row r="137" spans="1:9" ht="12.6" thickBot="1" x14ac:dyDescent="0.3">
      <c r="A137" s="219"/>
      <c r="B137" s="220"/>
      <c r="C137" s="240">
        <f t="shared" ref="C137:H137" si="62">+C136/C5</f>
        <v>3.0125949189393889E-3</v>
      </c>
      <c r="D137" s="240">
        <f t="shared" si="62"/>
        <v>2.3093299451522015E-3</v>
      </c>
      <c r="E137" s="240">
        <f t="shared" si="62"/>
        <v>4.6399270225070243E-3</v>
      </c>
      <c r="F137" s="240">
        <f t="shared" si="62"/>
        <v>3.1203329568111351E-3</v>
      </c>
      <c r="G137" s="240">
        <f t="shared" si="62"/>
        <v>7.0696639923742951E-3</v>
      </c>
      <c r="H137" s="240">
        <f t="shared" si="62"/>
        <v>1.2584153288451579E-2</v>
      </c>
    </row>
    <row r="138" spans="1:9" ht="12.6" thickBot="1" x14ac:dyDescent="0.3">
      <c r="A138" s="219" t="s">
        <v>557</v>
      </c>
      <c r="B138" s="220" t="s">
        <v>556</v>
      </c>
      <c r="C138" s="245">
        <f t="shared" ref="C138:H138" si="63">+C136*C4</f>
        <v>13842</v>
      </c>
      <c r="D138" s="245">
        <f t="shared" si="63"/>
        <v>19048</v>
      </c>
      <c r="E138" s="245">
        <f t="shared" si="63"/>
        <v>24720</v>
      </c>
      <c r="F138" s="245">
        <f t="shared" si="63"/>
        <v>9878.4000000000015</v>
      </c>
      <c r="G138" s="245">
        <f t="shared" si="63"/>
        <v>16020</v>
      </c>
      <c r="H138" s="245">
        <f t="shared" si="63"/>
        <v>9720</v>
      </c>
    </row>
    <row r="139" spans="1:9" ht="14.4" thickBot="1" x14ac:dyDescent="0.3">
      <c r="A139" s="219"/>
      <c r="B139" s="220" t="s">
        <v>558</v>
      </c>
      <c r="C139" s="245">
        <f>+C138*$J$124</f>
        <v>1641.7255813953489</v>
      </c>
      <c r="D139" s="245">
        <f t="shared" ref="D139:H139" si="64">+D138*$J$124</f>
        <v>2259.1813953488372</v>
      </c>
      <c r="E139" s="245">
        <f t="shared" si="64"/>
        <v>2931.9069767441861</v>
      </c>
      <c r="F139" s="245">
        <f t="shared" si="64"/>
        <v>1171.6241860465118</v>
      </c>
      <c r="G139" s="245">
        <f t="shared" si="64"/>
        <v>1900.046511627907</v>
      </c>
      <c r="H139" s="245">
        <f t="shared" si="64"/>
        <v>1152.8372093023256</v>
      </c>
    </row>
    <row r="140" spans="1:9" ht="12.6" thickBot="1" x14ac:dyDescent="0.3">
      <c r="A140" s="219"/>
      <c r="B140" s="220"/>
      <c r="C140" s="245">
        <f t="shared" ref="C140:H140" si="65">++C139/C4</f>
        <v>54.724186046511626</v>
      </c>
      <c r="D140" s="245">
        <f t="shared" si="65"/>
        <v>56.47953488372093</v>
      </c>
      <c r="E140" s="245">
        <f t="shared" si="65"/>
        <v>97.730232558139534</v>
      </c>
      <c r="F140" s="245">
        <f t="shared" si="65"/>
        <v>48.817674418604661</v>
      </c>
      <c r="G140" s="245">
        <f t="shared" si="65"/>
        <v>63.334883720930229</v>
      </c>
      <c r="H140" s="245">
        <f t="shared" si="65"/>
        <v>57.641860465116281</v>
      </c>
    </row>
    <row r="141" spans="1:9" ht="12.6" thickBot="1" x14ac:dyDescent="0.3">
      <c r="A141" s="219"/>
      <c r="B141" s="220"/>
      <c r="C141" s="245">
        <f>+C139/0.75*2750/3600</f>
        <v>1672.127906976744</v>
      </c>
      <c r="D141" s="245">
        <f t="shared" ref="D141:H141" si="66">+D139/0.75*2750/3600</f>
        <v>2301.0180878552969</v>
      </c>
      <c r="E141" s="245">
        <f t="shared" si="66"/>
        <v>2986.2015503875969</v>
      </c>
      <c r="F141" s="245">
        <f t="shared" si="66"/>
        <v>1193.3209302325583</v>
      </c>
      <c r="G141" s="245">
        <f t="shared" si="66"/>
        <v>1935.2325581395348</v>
      </c>
      <c r="H141" s="245">
        <f t="shared" si="66"/>
        <v>1174.1860465116279</v>
      </c>
    </row>
    <row r="142" spans="1:9" ht="12.6" thickBot="1" x14ac:dyDescent="0.3">
      <c r="A142" s="219"/>
      <c r="B142" s="220"/>
      <c r="C142" s="245"/>
      <c r="D142" s="245"/>
      <c r="E142" s="245"/>
      <c r="F142" s="245"/>
      <c r="G142" s="245"/>
      <c r="H142" s="245"/>
    </row>
    <row r="143" spans="1:9" ht="12.6" thickBot="1" x14ac:dyDescent="0.3">
      <c r="A143" s="219"/>
      <c r="B143" s="220"/>
      <c r="C143" s="245"/>
      <c r="D143" s="245"/>
      <c r="E143" s="245"/>
      <c r="F143" s="245"/>
      <c r="G143" s="245"/>
      <c r="H143" s="245"/>
    </row>
    <row r="144" spans="1:9" ht="12.6" thickBot="1" x14ac:dyDescent="0.3">
      <c r="A144" s="219" t="s">
        <v>383</v>
      </c>
      <c r="B144" s="220" t="s">
        <v>360</v>
      </c>
      <c r="C144" s="245">
        <v>90</v>
      </c>
      <c r="D144" s="245">
        <v>90</v>
      </c>
      <c r="E144" s="245">
        <v>92</v>
      </c>
      <c r="F144" s="245">
        <v>90</v>
      </c>
      <c r="G144" s="245">
        <v>90</v>
      </c>
      <c r="H144" s="245">
        <v>90</v>
      </c>
    </row>
    <row r="145" spans="1:8" ht="14.4" thickBot="1" x14ac:dyDescent="0.3">
      <c r="A145" s="219" t="s">
        <v>384</v>
      </c>
      <c r="B145" s="220" t="s">
        <v>451</v>
      </c>
      <c r="C145" s="245">
        <v>5129.1000000000004</v>
      </c>
      <c r="D145" s="245">
        <v>7679</v>
      </c>
      <c r="E145" s="245">
        <v>5585.4</v>
      </c>
      <c r="F145" s="245">
        <v>4220.8999999999996</v>
      </c>
      <c r="G145" s="245">
        <v>2852.3</v>
      </c>
      <c r="H145" s="245">
        <v>1283</v>
      </c>
    </row>
    <row r="146" spans="1:8" ht="12.6" thickBot="1" x14ac:dyDescent="0.3">
      <c r="A146" s="234"/>
      <c r="B146" s="226"/>
      <c r="C146" s="230"/>
      <c r="D146" s="230"/>
      <c r="E146" s="230"/>
      <c r="F146" s="230"/>
      <c r="G146" s="230"/>
      <c r="H146" s="230"/>
    </row>
    <row r="147" spans="1:8" ht="12.6" thickBot="1" x14ac:dyDescent="0.3">
      <c r="A147" s="234"/>
      <c r="B147" s="226"/>
      <c r="C147" s="246">
        <f t="shared" ref="C147:H147" si="67">+C145/C5</f>
        <v>3.348916471333338E-2</v>
      </c>
      <c r="D147" s="246">
        <f t="shared" si="67"/>
        <v>3.7239278976950348E-2</v>
      </c>
      <c r="E147" s="246">
        <f t="shared" si="67"/>
        <v>3.1451272319794582E-2</v>
      </c>
      <c r="F147" s="246">
        <f t="shared" si="67"/>
        <v>3.1998574775034302E-2</v>
      </c>
      <c r="G147" s="246">
        <f t="shared" si="67"/>
        <v>3.7761802631927348E-2</v>
      </c>
      <c r="H147" s="246">
        <f t="shared" si="67"/>
        <v>3.3221128948731228E-2</v>
      </c>
    </row>
    <row r="148" spans="1:8" ht="12.6" thickBot="1" x14ac:dyDescent="0.3">
      <c r="A148" s="234"/>
      <c r="B148" s="226"/>
      <c r="C148" s="246"/>
      <c r="D148" s="246"/>
      <c r="E148" s="246"/>
      <c r="F148" s="246"/>
      <c r="G148" s="246"/>
      <c r="H148" s="246"/>
    </row>
    <row r="149" spans="1:8" ht="12.6" thickBot="1" x14ac:dyDescent="0.3">
      <c r="A149" s="234" t="s">
        <v>152</v>
      </c>
      <c r="B149" s="226"/>
      <c r="C149" s="246">
        <f t="shared" ref="C149:H149" si="68">0.6*C13</f>
        <v>18000</v>
      </c>
      <c r="D149" s="246">
        <f t="shared" si="68"/>
        <v>24000</v>
      </c>
      <c r="E149" s="246">
        <f t="shared" si="68"/>
        <v>18000</v>
      </c>
      <c r="F149" s="246">
        <f t="shared" si="68"/>
        <v>14400</v>
      </c>
      <c r="G149" s="246">
        <f t="shared" si="68"/>
        <v>18000</v>
      </c>
      <c r="H149" s="246">
        <f t="shared" si="68"/>
        <v>12000</v>
      </c>
    </row>
    <row r="150" spans="1:8" ht="12.6" thickBot="1" x14ac:dyDescent="0.3">
      <c r="A150" s="234"/>
      <c r="B150" s="226"/>
      <c r="C150" s="246"/>
      <c r="D150" s="246"/>
      <c r="E150" s="246"/>
      <c r="F150" s="246"/>
      <c r="G150" s="246"/>
      <c r="H150" s="246"/>
    </row>
    <row r="151" spans="1:8" x14ac:dyDescent="0.25">
      <c r="A151" s="444" t="s">
        <v>53</v>
      </c>
      <c r="B151" s="445"/>
      <c r="C151" s="445"/>
      <c r="D151" s="445"/>
      <c r="E151" s="445"/>
      <c r="F151" s="445"/>
      <c r="G151" s="445"/>
      <c r="H151" s="446"/>
    </row>
    <row r="152" spans="1:8" x14ac:dyDescent="0.25">
      <c r="A152" s="270" t="s">
        <v>386</v>
      </c>
      <c r="B152" s="281" t="s">
        <v>314</v>
      </c>
      <c r="C152" s="222">
        <v>49</v>
      </c>
      <c r="D152" s="222">
        <v>84</v>
      </c>
      <c r="E152" s="222">
        <v>70</v>
      </c>
      <c r="F152" s="222">
        <v>86</v>
      </c>
      <c r="G152" s="232">
        <v>100</v>
      </c>
      <c r="H152" s="222">
        <v>54</v>
      </c>
    </row>
    <row r="153" spans="1:8" x14ac:dyDescent="0.25">
      <c r="A153" s="270" t="s">
        <v>387</v>
      </c>
      <c r="B153" s="281" t="s">
        <v>314</v>
      </c>
      <c r="C153" s="222">
        <v>79</v>
      </c>
      <c r="D153" s="222">
        <v>100</v>
      </c>
      <c r="E153" s="222">
        <v>82</v>
      </c>
      <c r="F153" s="222">
        <v>55</v>
      </c>
      <c r="G153" s="232">
        <v>100</v>
      </c>
      <c r="H153" s="222">
        <v>80</v>
      </c>
    </row>
    <row r="154" spans="1:8" ht="13.8" x14ac:dyDescent="0.25">
      <c r="A154" s="270" t="s">
        <v>559</v>
      </c>
      <c r="B154" s="281" t="s">
        <v>605</v>
      </c>
      <c r="C154" s="232">
        <f>+C52*C152/100*Biomass!$E$15/3600</f>
        <v>6276.412183914259</v>
      </c>
      <c r="D154" s="232">
        <f>+D52*D152/100*Biomass!$E$15/3600</f>
        <v>14579.354666467501</v>
      </c>
      <c r="E154" s="232">
        <f>+E52*E152/100*Biomass!$E$15/3600</f>
        <v>9257.8902132068633</v>
      </c>
      <c r="F154" s="232">
        <f>+F52*F152/100*Biomass!$E$15/3600</f>
        <v>8884.2421807548253</v>
      </c>
      <c r="G154" s="232">
        <f>+G52*G152/100*Biomass!$E$15/3600</f>
        <v>13642.110437908876</v>
      </c>
      <c r="H154" s="232">
        <f>+H52*H152/100*Biomass!$E$15/3600</f>
        <v>4761.2006810778148</v>
      </c>
    </row>
    <row r="155" spans="1:8" ht="13.8" x14ac:dyDescent="0.25">
      <c r="A155" s="270" t="s">
        <v>560</v>
      </c>
      <c r="B155" s="281" t="s">
        <v>605</v>
      </c>
      <c r="C155" s="232">
        <f>+C127*C153/100*Biomass!$G$15/3600</f>
        <v>6415.0381976498757</v>
      </c>
      <c r="D155" s="232">
        <f>+D127*D153/100*Biomass!$G$15/3600</f>
        <v>7435.0772367757536</v>
      </c>
      <c r="E155" s="232">
        <f>+E127*E153/100*Biomass!$G$15/3600</f>
        <v>4993.9854323476884</v>
      </c>
      <c r="F155" s="232">
        <f>+F127*F153/100*Biomass!$G$15/3600</f>
        <v>3394.4991210166886</v>
      </c>
      <c r="G155" s="232">
        <f>+G127*G153/100*Biomass!$G$15/3600</f>
        <v>4937.0332276148456</v>
      </c>
      <c r="H155" s="232">
        <f>+H127*H153/100*Biomass!$G$15/3600</f>
        <v>5051.8844577436657</v>
      </c>
    </row>
    <row r="156" spans="1:8" ht="13.8" x14ac:dyDescent="0.25">
      <c r="A156" s="270" t="s">
        <v>604</v>
      </c>
      <c r="B156" s="281" t="s">
        <v>605</v>
      </c>
      <c r="C156" s="232">
        <f>+C154+C155</f>
        <v>12691.450381564135</v>
      </c>
      <c r="D156" s="232">
        <f t="shared" ref="D156:H156" si="69">+D154+D155</f>
        <v>22014.431903243254</v>
      </c>
      <c r="E156" s="232">
        <f t="shared" si="69"/>
        <v>14251.875645554552</v>
      </c>
      <c r="F156" s="232">
        <f t="shared" si="69"/>
        <v>12278.741301771513</v>
      </c>
      <c r="G156" s="232">
        <f t="shared" si="69"/>
        <v>18579.143665523719</v>
      </c>
      <c r="H156" s="232">
        <f t="shared" si="69"/>
        <v>9813.0851388214796</v>
      </c>
    </row>
    <row r="157" spans="1:8" x14ac:dyDescent="0.25">
      <c r="A157" s="270"/>
      <c r="B157" s="281"/>
      <c r="C157" s="232"/>
      <c r="D157" s="232"/>
      <c r="E157" s="232"/>
      <c r="F157" s="232"/>
      <c r="G157" s="232"/>
      <c r="H157" s="232"/>
    </row>
    <row r="158" spans="1:8" ht="13.8" x14ac:dyDescent="0.25">
      <c r="A158" s="270" t="s">
        <v>606</v>
      </c>
      <c r="B158" s="281" t="s">
        <v>607</v>
      </c>
      <c r="C158" s="232">
        <v>461.4</v>
      </c>
      <c r="D158" s="232">
        <v>476.4</v>
      </c>
      <c r="E158" s="232">
        <v>470.9</v>
      </c>
      <c r="F158" s="232">
        <v>411.6</v>
      </c>
      <c r="G158" s="232">
        <f>+G159/24</f>
        <v>645</v>
      </c>
      <c r="H158" s="232">
        <v>486</v>
      </c>
    </row>
    <row r="159" spans="1:8" ht="13.8" x14ac:dyDescent="0.25">
      <c r="A159" s="270" t="s">
        <v>388</v>
      </c>
      <c r="B159" s="281" t="s">
        <v>427</v>
      </c>
      <c r="C159" s="222">
        <f>+C158*C4</f>
        <v>13842</v>
      </c>
      <c r="D159" s="222">
        <f>+D158*D4</f>
        <v>19056</v>
      </c>
      <c r="E159" s="222">
        <f>+E158*E4</f>
        <v>14127</v>
      </c>
      <c r="F159" s="222">
        <f>+F158*F4</f>
        <v>9878.4000000000015</v>
      </c>
      <c r="G159" s="222">
        <v>15480</v>
      </c>
      <c r="H159" s="222">
        <f>+H158*H4</f>
        <v>9720</v>
      </c>
    </row>
    <row r="160" spans="1:8" ht="13.2" x14ac:dyDescent="0.25">
      <c r="A160" s="270" t="s">
        <v>608</v>
      </c>
      <c r="B160" s="281"/>
      <c r="C160" s="232">
        <f>30+273</f>
        <v>303</v>
      </c>
      <c r="D160" s="232">
        <f t="shared" ref="D160:H160" si="70">30+273</f>
        <v>303</v>
      </c>
      <c r="E160" s="232">
        <f t="shared" si="70"/>
        <v>303</v>
      </c>
      <c r="F160" s="232">
        <f t="shared" si="70"/>
        <v>303</v>
      </c>
      <c r="G160" s="232">
        <f t="shared" si="70"/>
        <v>303</v>
      </c>
      <c r="H160" s="232">
        <f t="shared" si="70"/>
        <v>303</v>
      </c>
    </row>
    <row r="161" spans="1:8" ht="13.2" x14ac:dyDescent="0.25">
      <c r="A161" s="270" t="s">
        <v>609</v>
      </c>
      <c r="B161" s="281" t="s">
        <v>360</v>
      </c>
      <c r="C161" s="222">
        <v>256</v>
      </c>
      <c r="D161" s="222">
        <v>188</v>
      </c>
      <c r="E161" s="222">
        <v>182.4</v>
      </c>
      <c r="F161" s="222">
        <v>180</v>
      </c>
      <c r="G161" s="222">
        <v>189.1</v>
      </c>
      <c r="H161" s="222">
        <v>181.2</v>
      </c>
    </row>
    <row r="162" spans="1:8" x14ac:dyDescent="0.25">
      <c r="A162" s="270" t="s">
        <v>389</v>
      </c>
      <c r="B162" s="281" t="s">
        <v>390</v>
      </c>
      <c r="C162" s="222">
        <v>24</v>
      </c>
      <c r="D162" s="222">
        <v>11</v>
      </c>
      <c r="E162" s="222">
        <v>9.6</v>
      </c>
      <c r="F162" s="222">
        <v>9.1999999999999993</v>
      </c>
      <c r="G162" s="282">
        <v>11.3</v>
      </c>
      <c r="H162" s="222">
        <v>10.3</v>
      </c>
    </row>
    <row r="163" spans="1:8" x14ac:dyDescent="0.25">
      <c r="A163" s="270" t="s">
        <v>611</v>
      </c>
      <c r="B163" s="281" t="s">
        <v>610</v>
      </c>
      <c r="C163" s="222">
        <v>2897.3</v>
      </c>
      <c r="D163" s="222">
        <v>2783.8</v>
      </c>
      <c r="E163" s="222">
        <v>2779.3</v>
      </c>
      <c r="F163" s="222">
        <v>2777.9</v>
      </c>
      <c r="G163" s="222">
        <v>2784.6</v>
      </c>
      <c r="H163" s="222">
        <v>2778.28</v>
      </c>
    </row>
    <row r="164" spans="1:8" x14ac:dyDescent="0.25">
      <c r="A164" s="270" t="s">
        <v>392</v>
      </c>
      <c r="B164" s="281" t="s">
        <v>360</v>
      </c>
      <c r="C164" s="222">
        <v>95</v>
      </c>
      <c r="D164" s="222">
        <v>92</v>
      </c>
      <c r="E164" s="222">
        <v>80</v>
      </c>
      <c r="F164" s="222">
        <v>85</v>
      </c>
      <c r="G164" s="222">
        <v>90</v>
      </c>
      <c r="H164" s="222">
        <v>80</v>
      </c>
    </row>
    <row r="165" spans="1:8" x14ac:dyDescent="0.25">
      <c r="A165" s="270" t="s">
        <v>612</v>
      </c>
      <c r="B165" s="281" t="s">
        <v>610</v>
      </c>
      <c r="C165" s="222">
        <v>398</v>
      </c>
      <c r="D165" s="222">
        <v>385</v>
      </c>
      <c r="E165" s="222">
        <v>350</v>
      </c>
      <c r="F165" s="222">
        <v>356</v>
      </c>
      <c r="G165" s="222">
        <v>377</v>
      </c>
      <c r="H165" s="222">
        <v>335</v>
      </c>
    </row>
    <row r="167" spans="1:8" x14ac:dyDescent="0.25">
      <c r="A167" s="216" t="s">
        <v>561</v>
      </c>
      <c r="C167" s="241">
        <f>+(C159*(C163-C165)/3600)/C156</f>
        <v>0.75718757203348552</v>
      </c>
      <c r="D167" s="241">
        <f t="shared" ref="D167:H167" si="71">+(D159*(D163-D165)/3600)/D156</f>
        <v>0.57678744815256089</v>
      </c>
      <c r="E167" s="241">
        <f t="shared" si="71"/>
        <v>0.66889287560594612</v>
      </c>
      <c r="F167" s="241">
        <f t="shared" si="71"/>
        <v>0.54123573717130069</v>
      </c>
      <c r="G167" s="241">
        <f t="shared" si="71"/>
        <v>0.55722051491592106</v>
      </c>
      <c r="H167" s="241">
        <f t="shared" si="71"/>
        <v>0.67225096966724796</v>
      </c>
    </row>
    <row r="168" spans="1:8" ht="12.75" customHeight="1" x14ac:dyDescent="0.25"/>
    <row r="169" spans="1:8" ht="12.75" customHeight="1" x14ac:dyDescent="0.25">
      <c r="A169" s="216" t="s">
        <v>569</v>
      </c>
      <c r="C169" s="216">
        <f>80+273</f>
        <v>353</v>
      </c>
      <c r="D169" s="216">
        <f t="shared" ref="D169:H169" si="72">80+273</f>
        <v>353</v>
      </c>
      <c r="E169" s="216">
        <f t="shared" si="72"/>
        <v>353</v>
      </c>
      <c r="F169" s="216">
        <f t="shared" si="72"/>
        <v>353</v>
      </c>
      <c r="G169" s="216">
        <f t="shared" si="72"/>
        <v>353</v>
      </c>
      <c r="H169" s="216">
        <f t="shared" si="72"/>
        <v>353</v>
      </c>
    </row>
    <row r="170" spans="1:8" ht="12.75" customHeight="1" x14ac:dyDescent="0.25">
      <c r="A170" s="216" t="s">
        <v>570</v>
      </c>
      <c r="C170" s="216">
        <f>25+273</f>
        <v>298</v>
      </c>
      <c r="D170" s="216">
        <f t="shared" ref="D170:H170" si="73">25+273</f>
        <v>298</v>
      </c>
      <c r="E170" s="216">
        <f t="shared" si="73"/>
        <v>298</v>
      </c>
      <c r="F170" s="216">
        <f t="shared" si="73"/>
        <v>298</v>
      </c>
      <c r="G170" s="216">
        <f t="shared" si="73"/>
        <v>298</v>
      </c>
      <c r="H170" s="216">
        <f t="shared" si="73"/>
        <v>298</v>
      </c>
    </row>
    <row r="171" spans="1:8" ht="14.4" x14ac:dyDescent="0.35">
      <c r="A171" s="262" t="s">
        <v>562</v>
      </c>
      <c r="C171" s="233">
        <f>1*1.46*$C$169</f>
        <v>515.38</v>
      </c>
      <c r="D171" s="233">
        <f t="shared" ref="D171:H171" si="74">1*1.46*$C$169</f>
        <v>515.38</v>
      </c>
      <c r="E171" s="233">
        <f t="shared" si="74"/>
        <v>515.38</v>
      </c>
      <c r="F171" s="233">
        <f t="shared" si="74"/>
        <v>515.38</v>
      </c>
      <c r="G171" s="233">
        <f t="shared" si="74"/>
        <v>515.38</v>
      </c>
      <c r="H171" s="233">
        <f t="shared" si="74"/>
        <v>515.38</v>
      </c>
    </row>
    <row r="172" spans="1:8" ht="14.4" x14ac:dyDescent="0.35">
      <c r="A172" s="262" t="s">
        <v>563</v>
      </c>
      <c r="C172" s="233">
        <f>+(0.9*1.59*$C$169)+(0.1*4.18*303)</f>
        <v>631.79700000000003</v>
      </c>
      <c r="D172" s="233">
        <f t="shared" ref="D172:H172" si="75">+(0.9*1.59*$C$169)+(0.1*4.18*303)</f>
        <v>631.79700000000003</v>
      </c>
      <c r="E172" s="233">
        <f t="shared" si="75"/>
        <v>631.79700000000003</v>
      </c>
      <c r="F172" s="233">
        <f t="shared" si="75"/>
        <v>631.79700000000003</v>
      </c>
      <c r="G172" s="233">
        <f t="shared" si="75"/>
        <v>631.79700000000003</v>
      </c>
      <c r="H172" s="233">
        <f t="shared" si="75"/>
        <v>631.79700000000003</v>
      </c>
    </row>
    <row r="173" spans="1:8" ht="14.4" x14ac:dyDescent="0.35">
      <c r="A173" s="262" t="s">
        <v>564</v>
      </c>
      <c r="C173" s="233"/>
      <c r="D173" s="233">
        <f t="shared" ref="D173:H173" si="76">2.4*D169</f>
        <v>847.19999999999993</v>
      </c>
      <c r="E173" s="233">
        <f t="shared" si="76"/>
        <v>847.19999999999993</v>
      </c>
      <c r="F173" s="233">
        <f t="shared" si="76"/>
        <v>847.19999999999993</v>
      </c>
      <c r="G173" s="233">
        <f t="shared" si="76"/>
        <v>847.19999999999993</v>
      </c>
      <c r="H173" s="233">
        <f t="shared" si="76"/>
        <v>847.19999999999993</v>
      </c>
    </row>
    <row r="174" spans="1:8" x14ac:dyDescent="0.25">
      <c r="A174" s="262" t="s">
        <v>635</v>
      </c>
      <c r="C174" s="233"/>
      <c r="D174" s="233">
        <f>1.59*D169</f>
        <v>561.27</v>
      </c>
      <c r="E174" s="233">
        <f t="shared" ref="E174:H174" si="77">1.59*E169</f>
        <v>561.27</v>
      </c>
      <c r="F174" s="233">
        <f t="shared" si="77"/>
        <v>561.27</v>
      </c>
      <c r="G174" s="233">
        <f t="shared" si="77"/>
        <v>561.27</v>
      </c>
      <c r="H174" s="233">
        <f t="shared" si="77"/>
        <v>561.27</v>
      </c>
    </row>
    <row r="175" spans="1:8" ht="14.4" x14ac:dyDescent="0.35">
      <c r="A175" s="262" t="s">
        <v>565</v>
      </c>
      <c r="C175" s="233">
        <f>+(0.85*1.88*353)+(0.15*4.19*353)</f>
        <v>785.95449999999994</v>
      </c>
      <c r="D175" s="233">
        <f t="shared" ref="D175:H175" si="78">+(0.85*1.88*353)+(0.15*4.19*353)</f>
        <v>785.95449999999994</v>
      </c>
      <c r="E175" s="233">
        <f t="shared" si="78"/>
        <v>785.95449999999994</v>
      </c>
      <c r="F175" s="233">
        <f t="shared" si="78"/>
        <v>785.95449999999994</v>
      </c>
      <c r="G175" s="233">
        <f t="shared" si="78"/>
        <v>785.95449999999994</v>
      </c>
      <c r="H175" s="233">
        <f t="shared" si="78"/>
        <v>785.95449999999994</v>
      </c>
    </row>
    <row r="176" spans="1:8" ht="14.4" x14ac:dyDescent="0.35">
      <c r="A176" s="262" t="s">
        <v>566</v>
      </c>
      <c r="C176" s="233">
        <f>+(0.65*1.8*$C$169)+(0.35*4.19*$C$169)</f>
        <v>930.68450000000007</v>
      </c>
      <c r="D176" s="233">
        <f t="shared" ref="D176:H176" si="79">+(0.65*1.8*$C$169)+(0.35*4.19*$C$169)</f>
        <v>930.68450000000007</v>
      </c>
      <c r="E176" s="233">
        <f t="shared" si="79"/>
        <v>930.68450000000007</v>
      </c>
      <c r="F176" s="233">
        <f t="shared" si="79"/>
        <v>930.68450000000007</v>
      </c>
      <c r="G176" s="233">
        <f t="shared" si="79"/>
        <v>930.68450000000007</v>
      </c>
      <c r="H176" s="233">
        <f t="shared" si="79"/>
        <v>930.68450000000007</v>
      </c>
    </row>
    <row r="177" spans="1:8" ht="14.4" x14ac:dyDescent="0.35">
      <c r="A177" s="262" t="s">
        <v>567</v>
      </c>
      <c r="C177" s="233">
        <f>+(0.5*1.8*$C$169)+(0.5*4.19*$C$169)</f>
        <v>1057.2350000000001</v>
      </c>
      <c r="D177" s="233">
        <f t="shared" ref="D177:H177" si="80">+(0.5*1.8*$C$169)+(0.5*4.19*$C$169)</f>
        <v>1057.2350000000001</v>
      </c>
      <c r="E177" s="233">
        <f t="shared" si="80"/>
        <v>1057.2350000000001</v>
      </c>
      <c r="F177" s="233">
        <f t="shared" si="80"/>
        <v>1057.2350000000001</v>
      </c>
      <c r="G177" s="233">
        <f t="shared" si="80"/>
        <v>1057.2350000000001</v>
      </c>
      <c r="H177" s="233">
        <f t="shared" si="80"/>
        <v>1057.2350000000001</v>
      </c>
    </row>
    <row r="178" spans="1:8" ht="14.4" x14ac:dyDescent="0.35">
      <c r="A178" s="262" t="s">
        <v>568</v>
      </c>
      <c r="C178" s="233">
        <f>+(0.05*2.22*$C$169)+(0.95*4.19*$C$169)</f>
        <v>1444.2995000000001</v>
      </c>
      <c r="D178" s="233">
        <f t="shared" ref="D178:H178" si="81">+(0.05*2.22*$C$169)+(0.95*4.19*$C$169)</f>
        <v>1444.2995000000001</v>
      </c>
      <c r="E178" s="233">
        <f t="shared" si="81"/>
        <v>1444.2995000000001</v>
      </c>
      <c r="F178" s="233">
        <f t="shared" si="81"/>
        <v>1444.2995000000001</v>
      </c>
      <c r="G178" s="233">
        <f t="shared" si="81"/>
        <v>1444.2995000000001</v>
      </c>
      <c r="H178" s="233">
        <f t="shared" si="81"/>
        <v>1444.2995000000001</v>
      </c>
    </row>
    <row r="180" spans="1:8" ht="14.4" x14ac:dyDescent="0.35">
      <c r="A180" s="262" t="s">
        <v>571</v>
      </c>
      <c r="C180" s="263">
        <f>2.066*$C$170</f>
        <v>615.66800000000001</v>
      </c>
      <c r="D180" s="263">
        <f t="shared" ref="D180:H180" si="82">2.066*$C$170</f>
        <v>615.66800000000001</v>
      </c>
      <c r="E180" s="263">
        <f t="shared" si="82"/>
        <v>615.66800000000001</v>
      </c>
      <c r="F180" s="263">
        <f t="shared" si="82"/>
        <v>615.66800000000001</v>
      </c>
      <c r="G180" s="263">
        <f t="shared" si="82"/>
        <v>615.66800000000001</v>
      </c>
      <c r="H180" s="263">
        <f t="shared" si="82"/>
        <v>615.66800000000001</v>
      </c>
    </row>
    <row r="181" spans="1:8" ht="14.4" x14ac:dyDescent="0.35">
      <c r="A181" s="262" t="s">
        <v>572</v>
      </c>
      <c r="C181" s="233">
        <f>4.18*$C$170</f>
        <v>1245.6399999999999</v>
      </c>
      <c r="D181" s="233">
        <f t="shared" ref="D181:H181" si="83">4.18*$C$170</f>
        <v>1245.6399999999999</v>
      </c>
      <c r="E181" s="233">
        <f t="shared" si="83"/>
        <v>1245.6399999999999</v>
      </c>
      <c r="F181" s="233">
        <f t="shared" si="83"/>
        <v>1245.6399999999999</v>
      </c>
      <c r="G181" s="233">
        <f t="shared" si="83"/>
        <v>1245.6399999999999</v>
      </c>
      <c r="H181" s="233">
        <f t="shared" si="83"/>
        <v>1245.6399999999999</v>
      </c>
    </row>
    <row r="182" spans="1:8" x14ac:dyDescent="0.25">
      <c r="A182" s="262"/>
      <c r="C182" s="233"/>
      <c r="D182" s="233"/>
      <c r="E182" s="233"/>
      <c r="F182" s="233"/>
      <c r="G182" s="233"/>
      <c r="H182" s="233"/>
    </row>
    <row r="183" spans="1:8" x14ac:dyDescent="0.25">
      <c r="A183" s="262" t="s">
        <v>573</v>
      </c>
      <c r="C183" s="233"/>
      <c r="D183" s="233"/>
      <c r="E183" s="233"/>
      <c r="F183" s="233"/>
      <c r="G183" s="233"/>
      <c r="H183" s="233"/>
    </row>
    <row r="184" spans="1:8" ht="14.4" x14ac:dyDescent="0.35">
      <c r="A184" s="262" t="s">
        <v>574</v>
      </c>
      <c r="C184" s="233">
        <f t="shared" ref="C184:H184" si="84">+C171*C86/3600</f>
        <v>810.30362809999997</v>
      </c>
      <c r="D184" s="233">
        <f t="shared" si="84"/>
        <v>1111.2726636</v>
      </c>
      <c r="E184" s="233">
        <f t="shared" si="84"/>
        <v>805.72834215</v>
      </c>
      <c r="F184" s="233">
        <f t="shared" si="84"/>
        <v>602.99459999999999</v>
      </c>
      <c r="G184" s="233">
        <f t="shared" si="84"/>
        <v>661.8793419000001</v>
      </c>
      <c r="H184" s="233">
        <f t="shared" si="84"/>
        <v>538.44969724999999</v>
      </c>
    </row>
    <row r="185" spans="1:8" ht="14.4" x14ac:dyDescent="0.35">
      <c r="A185" s="262" t="s">
        <v>575</v>
      </c>
      <c r="C185" s="233">
        <f t="shared" ref="C185:H185" si="85">+C130*C172/3600</f>
        <v>262.50962520404835</v>
      </c>
      <c r="D185" s="233">
        <f t="shared" si="85"/>
        <v>350.38553313934693</v>
      </c>
      <c r="E185" s="233">
        <f t="shared" si="85"/>
        <v>234.96729645270273</v>
      </c>
      <c r="F185" s="233">
        <f t="shared" si="85"/>
        <v>178.05373968947112</v>
      </c>
      <c r="G185" s="233">
        <f t="shared" si="85"/>
        <v>156.31527301133355</v>
      </c>
      <c r="H185" s="233">
        <f t="shared" si="85"/>
        <v>197.85690617987228</v>
      </c>
    </row>
    <row r="186" spans="1:8" ht="14.4" x14ac:dyDescent="0.35">
      <c r="A186" s="262" t="s">
        <v>636</v>
      </c>
      <c r="D186" s="233">
        <f>+D173*D131/3600</f>
        <v>202.03332428063365</v>
      </c>
      <c r="E186" s="233">
        <f t="shared" ref="E186:H186" si="86">+E173*E131/3600</f>
        <v>129.18130405405407</v>
      </c>
      <c r="F186" s="233">
        <f t="shared" si="86"/>
        <v>97.891130519165444</v>
      </c>
      <c r="G186" s="233">
        <f t="shared" si="86"/>
        <v>92.227933481622699</v>
      </c>
      <c r="H186" s="233">
        <f t="shared" si="86"/>
        <v>103.47232522009323</v>
      </c>
    </row>
    <row r="187" spans="1:8" ht="14.4" x14ac:dyDescent="0.35">
      <c r="A187" s="262" t="s">
        <v>637</v>
      </c>
      <c r="D187" s="233">
        <f>+D174*D133/3600</f>
        <v>177.42519553831232</v>
      </c>
      <c r="E187" s="233">
        <f t="shared" ref="E187:H187" si="87">+E174*E133/3600</f>
        <v>123.15546883445948</v>
      </c>
      <c r="F187" s="233">
        <f t="shared" si="87"/>
        <v>93.324867418728772</v>
      </c>
      <c r="G187" s="233">
        <f t="shared" si="87"/>
        <v>77.764916640186414</v>
      </c>
      <c r="H187" s="233">
        <f t="shared" si="87"/>
        <v>107.21988058864147</v>
      </c>
    </row>
    <row r="188" spans="1:8" ht="14.4" x14ac:dyDescent="0.35">
      <c r="A188" s="262" t="s">
        <v>576</v>
      </c>
      <c r="C188" s="233">
        <f>+C127*Biomass!$G$15/3600*((100-C153)/100)</f>
        <v>1705.2633183626253</v>
      </c>
      <c r="D188" s="233">
        <f>+D127*Biomass!$G$15/3600*((100-D153)/100)</f>
        <v>0</v>
      </c>
      <c r="E188" s="233">
        <f>+E127*Biomass!$G$15/3600*((100-E153)/100)</f>
        <v>1096.2407046616877</v>
      </c>
      <c r="F188" s="233">
        <f>+F127*Biomass!$G$15/3600*((100-F153)/100)</f>
        <v>2777.3174626500186</v>
      </c>
      <c r="G188" s="233">
        <f>+G127*Biomass!$G$15/3600*((100-G153)/100)</f>
        <v>0</v>
      </c>
      <c r="H188" s="233">
        <f>+H127*Biomass!$G$15/3600*((100-H153)/100)</f>
        <v>1262.9711144359164</v>
      </c>
    </row>
    <row r="189" spans="1:8" ht="14.4" x14ac:dyDescent="0.35">
      <c r="A189" s="262" t="s">
        <v>577</v>
      </c>
      <c r="C189" s="233">
        <f>+C52*Biomass!$E$15/3600*((100-C152)/100)</f>
        <v>6532.5922730536176</v>
      </c>
      <c r="D189" s="233">
        <f>+D52*Biomass!$E$15/3600*((100-D152)/100)</f>
        <v>2777.0199364700006</v>
      </c>
      <c r="E189" s="233">
        <f>+E52*Biomass!$E$15/3600*((100-E152)/100)</f>
        <v>3967.6672342315132</v>
      </c>
      <c r="F189" s="233">
        <f>+F52*Biomass!$E$15/3600*((100-F152)/100)</f>
        <v>1446.2719829135765</v>
      </c>
      <c r="G189" s="233">
        <f>+G52*Biomass!$E$15/3600*((100-G152)/100)</f>
        <v>0</v>
      </c>
      <c r="H189" s="233">
        <f>+H52*Biomass!$E$15/3600*((100-H152)/100)</f>
        <v>4055.8376172144358</v>
      </c>
    </row>
    <row r="190" spans="1:8" ht="14.4" x14ac:dyDescent="0.35">
      <c r="A190" s="262" t="s">
        <v>578</v>
      </c>
      <c r="C190" s="233">
        <f>+C36*Biomass!$I$15/3600</f>
        <v>18589.131641159998</v>
      </c>
      <c r="D190" s="233">
        <f>+D36*Biomass!$I$15/3600</f>
        <v>22949.545236000002</v>
      </c>
      <c r="E190" s="233">
        <f>+E36*Biomass!$I$15/3600</f>
        <v>17518.152863479998</v>
      </c>
      <c r="F190" s="233">
        <f>+F36*Biomass!$I$15/3600</f>
        <v>11382.974437056</v>
      </c>
      <c r="G190" s="233">
        <f>+G36*Biomass!$I$15/3600</f>
        <v>18619.731034807999</v>
      </c>
      <c r="H190" s="233">
        <f>+H36*Biomass!$I$15/3600</f>
        <v>10888.284239746665</v>
      </c>
    </row>
    <row r="191" spans="1:8" ht="14.4" x14ac:dyDescent="0.35">
      <c r="A191" s="262" t="s">
        <v>579</v>
      </c>
      <c r="C191" s="233">
        <f>+C149*Biomass!$Q$40/3600</f>
        <v>1765</v>
      </c>
      <c r="D191" s="233">
        <f>+D149*Biomass!$Q$40/3600</f>
        <v>2353.3333333333335</v>
      </c>
      <c r="E191" s="233">
        <f>+E149*Biomass!$Q$40/3600</f>
        <v>1765</v>
      </c>
      <c r="F191" s="233">
        <f>+F149*Biomass!$Q$40/3600</f>
        <v>1412</v>
      </c>
      <c r="G191" s="233">
        <f>+G149*Biomass!$Q$40/3600</f>
        <v>1765</v>
      </c>
      <c r="H191" s="233">
        <f>+H149*Biomass!$Q$40/3600</f>
        <v>1176.6666666666667</v>
      </c>
    </row>
    <row r="192" spans="1:8" x14ac:dyDescent="0.25">
      <c r="A192" s="262"/>
      <c r="C192" s="241"/>
      <c r="D192" s="241"/>
      <c r="E192" s="241"/>
      <c r="F192" s="241"/>
      <c r="G192" s="241"/>
      <c r="H192" s="241"/>
    </row>
    <row r="193" spans="1:9" x14ac:dyDescent="0.25">
      <c r="A193" s="262"/>
      <c r="C193" s="233"/>
      <c r="D193" s="233"/>
      <c r="E193" s="233"/>
      <c r="F193" s="233"/>
      <c r="G193" s="233"/>
      <c r="H193" s="233"/>
    </row>
    <row r="194" spans="1:9" x14ac:dyDescent="0.25">
      <c r="A194" s="262"/>
      <c r="C194" s="216">
        <v>800</v>
      </c>
      <c r="F194" s="216">
        <v>600</v>
      </c>
    </row>
    <row r="195" spans="1:9" ht="14.4" x14ac:dyDescent="0.35">
      <c r="A195" s="262" t="s">
        <v>580</v>
      </c>
      <c r="C195" s="233">
        <f>+C13*Biomass!$K$15/3600</f>
        <v>137713.56474933334</v>
      </c>
      <c r="D195" s="233">
        <f>+D13*Biomass!$K$15/3600</f>
        <v>183618.08633244445</v>
      </c>
      <c r="E195" s="233">
        <f>+E13*Biomass!$K$15/3600</f>
        <v>137713.56474933334</v>
      </c>
      <c r="F195" s="233">
        <f>+F13*Biomass!$K$15/3600</f>
        <v>110170.85179946666</v>
      </c>
      <c r="G195" s="233">
        <f>+G13*Biomass!$K$15/3600</f>
        <v>137713.56474933334</v>
      </c>
      <c r="H195" s="233">
        <f>+H13*Biomass!$K$15/3600</f>
        <v>91809.043166222225</v>
      </c>
    </row>
    <row r="196" spans="1:9" ht="14.4" x14ac:dyDescent="0.35">
      <c r="A196" s="262" t="s">
        <v>581</v>
      </c>
      <c r="C196" s="233">
        <f>(+C138*4.18*C160)/3600</f>
        <v>4869.8463000000002</v>
      </c>
      <c r="D196" s="233">
        <f t="shared" ref="D196:H196" si="88">(+D138*4.18*D160)/3600</f>
        <v>6701.4038666666665</v>
      </c>
      <c r="E196" s="233">
        <f t="shared" si="88"/>
        <v>8696.9079999999994</v>
      </c>
      <c r="F196" s="233">
        <f t="shared" si="88"/>
        <v>3475.3857600000006</v>
      </c>
      <c r="G196" s="233">
        <f t="shared" si="88"/>
        <v>5636.1029999999992</v>
      </c>
      <c r="H196" s="233">
        <f t="shared" si="88"/>
        <v>3419.6579999999999</v>
      </c>
    </row>
    <row r="197" spans="1:9" ht="14.4" x14ac:dyDescent="0.35">
      <c r="A197" s="262" t="s">
        <v>583</v>
      </c>
      <c r="C197" s="233">
        <f>+N23*C4</f>
        <v>772.50000000000011</v>
      </c>
      <c r="D197" s="233">
        <f>+P23*D4</f>
        <v>657.59999999999991</v>
      </c>
      <c r="E197" s="233">
        <f>+R23*E4</f>
        <v>648.6</v>
      </c>
      <c r="F197" s="233">
        <f>+T23*F4</f>
        <v>681.59999999999991</v>
      </c>
      <c r="G197" s="233">
        <f>+V23*G4</f>
        <v>906.24</v>
      </c>
      <c r="H197" s="233">
        <f>+X23*H4</f>
        <v>364</v>
      </c>
    </row>
    <row r="198" spans="1:9" x14ac:dyDescent="0.25">
      <c r="A198" s="262"/>
      <c r="C198" s="233"/>
      <c r="D198" s="233"/>
      <c r="E198" s="233"/>
      <c r="F198" s="233"/>
      <c r="G198" s="233"/>
      <c r="H198" s="233"/>
    </row>
    <row r="199" spans="1:9" ht="13.2" x14ac:dyDescent="0.3">
      <c r="A199" s="216" t="s">
        <v>584</v>
      </c>
      <c r="C199" s="251">
        <f>+(C184+C185+C188+C189+C190+C191+C194)/(C195+C196)</f>
        <v>0.21366300793112306</v>
      </c>
      <c r="D199" s="251">
        <f t="shared" ref="D199:H199" si="89">+(D184+D185+D188+D189+D190+D191+D194)/(D195+D196)</f>
        <v>0.155220869242748</v>
      </c>
      <c r="E199" s="251">
        <f t="shared" si="89"/>
        <v>0.17340123260473184</v>
      </c>
      <c r="F199" s="251">
        <f t="shared" si="89"/>
        <v>0.16190251976165301</v>
      </c>
      <c r="G199" s="251">
        <f t="shared" si="89"/>
        <v>0.1479105322155024</v>
      </c>
      <c r="H199" s="251">
        <f t="shared" si="89"/>
        <v>0.19027946427479761</v>
      </c>
    </row>
    <row r="205" spans="1:9" ht="14.4" thickBot="1" x14ac:dyDescent="0.3">
      <c r="A205" s="272" t="s">
        <v>509</v>
      </c>
      <c r="B205" s="273" t="s">
        <v>600</v>
      </c>
      <c r="C205" s="274">
        <v>30000</v>
      </c>
      <c r="D205" s="274">
        <v>40000</v>
      </c>
      <c r="E205" s="274">
        <v>30000</v>
      </c>
      <c r="F205" s="274">
        <v>24000</v>
      </c>
      <c r="G205" s="274">
        <v>24000</v>
      </c>
      <c r="H205" s="274">
        <v>20000</v>
      </c>
      <c r="I205" s="274">
        <v>40000</v>
      </c>
    </row>
    <row r="206" spans="1:9" ht="14.4" thickBot="1" x14ac:dyDescent="0.3">
      <c r="A206" s="451" t="s">
        <v>336</v>
      </c>
      <c r="B206" s="275" t="s">
        <v>427</v>
      </c>
      <c r="C206" s="276">
        <v>4867</v>
      </c>
      <c r="D206" s="276">
        <v>6157</v>
      </c>
      <c r="E206" s="276">
        <v>5375</v>
      </c>
      <c r="F206" s="276">
        <v>4043</v>
      </c>
      <c r="G206" s="276">
        <v>3936</v>
      </c>
      <c r="H206" s="276">
        <v>3101</v>
      </c>
      <c r="I206" s="276">
        <v>9625</v>
      </c>
    </row>
    <row r="207" spans="1:9" ht="12.6" thickBot="1" x14ac:dyDescent="0.3">
      <c r="A207" s="448"/>
      <c r="B207" s="275" t="s">
        <v>601</v>
      </c>
      <c r="C207" s="280">
        <f>+C206*2750/3600</f>
        <v>3717.8472222222222</v>
      </c>
      <c r="D207" s="280">
        <f t="shared" ref="D207:I207" si="90">+D206*2750/3600</f>
        <v>4703.2638888888887</v>
      </c>
      <c r="E207" s="280">
        <f t="shared" si="90"/>
        <v>4105.9027777777774</v>
      </c>
      <c r="F207" s="280">
        <f t="shared" si="90"/>
        <v>3088.4027777777778</v>
      </c>
      <c r="G207" s="280">
        <f t="shared" si="90"/>
        <v>3006.6666666666665</v>
      </c>
      <c r="H207" s="280">
        <f t="shared" si="90"/>
        <v>2368.8194444444443</v>
      </c>
      <c r="I207" s="280">
        <f t="shared" si="90"/>
        <v>7352.4305555555557</v>
      </c>
    </row>
    <row r="208" spans="1:9" ht="14.4" thickBot="1" x14ac:dyDescent="0.3">
      <c r="A208" s="447" t="s">
        <v>339</v>
      </c>
      <c r="B208" s="275" t="s">
        <v>428</v>
      </c>
      <c r="C208" s="276">
        <v>4170</v>
      </c>
      <c r="D208" s="276">
        <v>5386</v>
      </c>
      <c r="E208" s="276">
        <v>4348</v>
      </c>
      <c r="F208" s="276">
        <v>3304</v>
      </c>
      <c r="G208" s="276">
        <v>3317</v>
      </c>
      <c r="H208" s="276">
        <v>2310</v>
      </c>
      <c r="I208" s="276">
        <v>1560</v>
      </c>
    </row>
    <row r="209" spans="1:16" ht="14.4" thickBot="1" x14ac:dyDescent="0.3">
      <c r="A209" s="448"/>
      <c r="B209" s="275" t="s">
        <v>501</v>
      </c>
      <c r="C209" s="277">
        <v>139</v>
      </c>
      <c r="D209" s="277">
        <v>135</v>
      </c>
      <c r="E209" s="277">
        <v>145</v>
      </c>
      <c r="F209" s="277">
        <v>138</v>
      </c>
      <c r="G209" s="277">
        <v>138</v>
      </c>
      <c r="H209" s="277">
        <v>116</v>
      </c>
      <c r="I209" s="277">
        <v>39</v>
      </c>
    </row>
    <row r="210" spans="1:16" ht="14.4" thickBot="1" x14ac:dyDescent="0.3">
      <c r="A210" s="449" t="s">
        <v>473</v>
      </c>
      <c r="B210" s="275" t="s">
        <v>427</v>
      </c>
      <c r="C210" s="277">
        <v>4572</v>
      </c>
      <c r="D210" s="277">
        <v>6065</v>
      </c>
      <c r="E210" s="277">
        <v>4588</v>
      </c>
      <c r="F210" s="277">
        <v>3682</v>
      </c>
      <c r="G210" s="277">
        <v>3675</v>
      </c>
      <c r="H210" s="277">
        <v>3109</v>
      </c>
      <c r="I210" s="277">
        <v>15800</v>
      </c>
    </row>
    <row r="211" spans="1:16" ht="14.4" thickBot="1" x14ac:dyDescent="0.3">
      <c r="A211" s="450"/>
      <c r="B211" s="275" t="s">
        <v>501</v>
      </c>
      <c r="C211" s="277">
        <v>152</v>
      </c>
      <c r="D211" s="277">
        <v>152</v>
      </c>
      <c r="E211" s="277">
        <v>153</v>
      </c>
      <c r="F211" s="277">
        <v>153</v>
      </c>
      <c r="G211" s="277">
        <v>153</v>
      </c>
      <c r="H211" s="277">
        <v>155</v>
      </c>
      <c r="I211" s="277">
        <v>395</v>
      </c>
    </row>
    <row r="212" spans="1:16" ht="12.6" thickBot="1" x14ac:dyDescent="0.3">
      <c r="A212" s="278" t="s">
        <v>505</v>
      </c>
      <c r="B212" s="274" t="s">
        <v>360</v>
      </c>
      <c r="C212" s="277">
        <v>303</v>
      </c>
      <c r="D212" s="277">
        <v>303</v>
      </c>
      <c r="E212" s="277">
        <v>303</v>
      </c>
      <c r="F212" s="277">
        <v>303</v>
      </c>
      <c r="G212" s="277">
        <v>303</v>
      </c>
      <c r="H212" s="277">
        <v>303</v>
      </c>
      <c r="I212" s="277">
        <v>303</v>
      </c>
    </row>
    <row r="213" spans="1:16" ht="12.6" thickBot="1" x14ac:dyDescent="0.3">
      <c r="A213" s="278" t="s">
        <v>506</v>
      </c>
      <c r="B213" s="274" t="s">
        <v>360</v>
      </c>
      <c r="C213" s="277">
        <v>368</v>
      </c>
      <c r="D213" s="277">
        <v>367</v>
      </c>
      <c r="E213" s="277">
        <v>369</v>
      </c>
      <c r="F213" s="277">
        <v>371</v>
      </c>
      <c r="G213" s="277">
        <v>365</v>
      </c>
      <c r="H213" s="277">
        <v>363</v>
      </c>
      <c r="I213" s="277">
        <v>363</v>
      </c>
    </row>
    <row r="214" spans="1:16" ht="12.6" thickBot="1" x14ac:dyDescent="0.3">
      <c r="A214" s="278"/>
      <c r="B214" s="274"/>
      <c r="C214" s="277"/>
      <c r="D214" s="277"/>
      <c r="E214" s="277"/>
      <c r="F214" s="277"/>
      <c r="G214" s="277"/>
      <c r="H214" s="277"/>
      <c r="I214" s="277"/>
    </row>
    <row r="215" spans="1:16" ht="14.4" thickBot="1" x14ac:dyDescent="0.3">
      <c r="A215" s="278" t="s">
        <v>602</v>
      </c>
      <c r="B215" s="275" t="s">
        <v>501</v>
      </c>
      <c r="C215" s="277">
        <v>4884</v>
      </c>
      <c r="D215" s="277">
        <v>6493</v>
      </c>
      <c r="E215" s="277">
        <v>4931</v>
      </c>
      <c r="F215" s="277">
        <v>4057</v>
      </c>
      <c r="G215" s="277">
        <v>3847</v>
      </c>
      <c r="H215" s="277">
        <v>3153</v>
      </c>
      <c r="I215" s="277">
        <v>15065</v>
      </c>
    </row>
    <row r="216" spans="1:16" ht="12.6" thickBot="1" x14ac:dyDescent="0.3">
      <c r="A216" s="278"/>
      <c r="B216" s="274"/>
      <c r="C216" s="277"/>
      <c r="D216" s="277"/>
      <c r="E216" s="277"/>
      <c r="F216" s="277"/>
      <c r="G216" s="277"/>
      <c r="H216" s="277"/>
      <c r="I216" s="277"/>
    </row>
    <row r="217" spans="1:16" ht="12.6" thickBot="1" x14ac:dyDescent="0.3">
      <c r="A217" s="278" t="s">
        <v>511</v>
      </c>
      <c r="B217" s="274" t="s">
        <v>314</v>
      </c>
      <c r="C217" s="279">
        <v>0.76700000000000002</v>
      </c>
      <c r="D217" s="279">
        <v>0.80600000000000005</v>
      </c>
      <c r="E217" s="279">
        <v>0.70099999999999996</v>
      </c>
      <c r="F217" s="279">
        <v>0.76700000000000002</v>
      </c>
      <c r="G217" s="279">
        <v>0.747</v>
      </c>
      <c r="H217" s="279">
        <v>0.77700000000000002</v>
      </c>
      <c r="I217" s="279">
        <v>0.83699999999999997</v>
      </c>
    </row>
    <row r="219" spans="1:16" x14ac:dyDescent="0.25">
      <c r="F219" s="216">
        <f>+F220*F222/0.15</f>
        <v>17482339.466666665</v>
      </c>
    </row>
    <row r="220" spans="1:16" ht="14.4" x14ac:dyDescent="0.3">
      <c r="A220" s="216" t="s">
        <v>627</v>
      </c>
      <c r="C220" s="300">
        <v>3083731</v>
      </c>
      <c r="D220" s="301">
        <v>5398064.2000000002</v>
      </c>
      <c r="E220" s="301">
        <v>2740934.19</v>
      </c>
      <c r="F220" s="233">
        <f>+T23*F5</f>
        <v>3746215.5999999996</v>
      </c>
      <c r="G220" s="233">
        <v>2281731.0719999997</v>
      </c>
      <c r="H220" s="300">
        <f>+H5*X23</f>
        <v>702884</v>
      </c>
    </row>
    <row r="221" spans="1:16" ht="14.4" x14ac:dyDescent="0.25">
      <c r="A221" s="283" t="s">
        <v>613</v>
      </c>
      <c r="C221" s="299">
        <v>0.79127912791279131</v>
      </c>
      <c r="D221" s="216">
        <v>0</v>
      </c>
      <c r="E221" s="298">
        <v>0</v>
      </c>
      <c r="F221" s="298">
        <v>0</v>
      </c>
      <c r="G221" s="298">
        <v>0</v>
      </c>
      <c r="H221" s="299">
        <v>0</v>
      </c>
      <c r="K221" s="241"/>
      <c r="L221" s="241"/>
      <c r="M221" s="241"/>
      <c r="N221" s="241"/>
      <c r="O221" s="241"/>
      <c r="P221" s="241"/>
    </row>
    <row r="222" spans="1:16" ht="14.4" x14ac:dyDescent="0.25">
      <c r="A222" s="283" t="s">
        <v>614</v>
      </c>
      <c r="C222" s="299">
        <v>0</v>
      </c>
      <c r="D222" s="216">
        <v>0</v>
      </c>
      <c r="E222" s="298">
        <v>0</v>
      </c>
      <c r="F222" s="298">
        <v>0.7</v>
      </c>
      <c r="G222" s="298">
        <v>0</v>
      </c>
      <c r="H222" s="299">
        <v>0</v>
      </c>
      <c r="K222" s="241"/>
      <c r="L222" s="241"/>
      <c r="M222" s="241"/>
      <c r="N222" s="241"/>
      <c r="O222" s="241"/>
      <c r="P222" s="241"/>
    </row>
    <row r="223" spans="1:16" ht="14.4" x14ac:dyDescent="0.25">
      <c r="A223" s="283" t="s">
        <v>615</v>
      </c>
      <c r="C223" s="299">
        <v>0.19771977197719773</v>
      </c>
      <c r="D223" s="241">
        <v>0.95</v>
      </c>
      <c r="E223" s="298">
        <v>0.86399999999999999</v>
      </c>
      <c r="F223" s="298">
        <v>0.2</v>
      </c>
      <c r="G223" s="298">
        <v>0.91589999999999994</v>
      </c>
      <c r="H223" s="299">
        <v>0.82</v>
      </c>
      <c r="K223" s="241"/>
      <c r="L223" s="241"/>
      <c r="M223" s="241"/>
      <c r="N223" s="241"/>
      <c r="O223" s="241"/>
      <c r="P223" s="241"/>
    </row>
    <row r="224" spans="1:16" ht="14.4" x14ac:dyDescent="0.25">
      <c r="A224" s="283" t="s">
        <v>616</v>
      </c>
      <c r="C224" s="299">
        <v>1.1001100110011002E-2</v>
      </c>
      <c r="D224" s="241">
        <v>0.05</v>
      </c>
      <c r="E224" s="298">
        <v>0.13600000000000001</v>
      </c>
      <c r="F224" s="298">
        <v>0.1</v>
      </c>
      <c r="G224" s="298">
        <v>8.4099999999999994E-2</v>
      </c>
      <c r="H224" s="299">
        <v>0.18</v>
      </c>
      <c r="K224" s="241"/>
      <c r="L224" s="241"/>
      <c r="M224" s="241"/>
      <c r="N224" s="241"/>
      <c r="O224" s="241"/>
      <c r="P224" s="241"/>
    </row>
    <row r="225" spans="1:8" ht="14.4" x14ac:dyDescent="0.25">
      <c r="A225" s="297"/>
      <c r="C225" s="285"/>
      <c r="D225" s="285"/>
      <c r="E225" s="285"/>
      <c r="F225" s="285"/>
      <c r="G225" s="285"/>
      <c r="H225" s="285"/>
    </row>
    <row r="226" spans="1:8" ht="14.4" x14ac:dyDescent="0.25">
      <c r="A226" s="297"/>
      <c r="C226" s="285">
        <f t="shared" ref="C226:H226" si="91">+C220/C6</f>
        <v>604.06092066601366</v>
      </c>
      <c r="D226" s="285">
        <f t="shared" si="91"/>
        <v>1047.1511542192047</v>
      </c>
      <c r="E226" s="285">
        <f t="shared" si="91"/>
        <v>462.9956402027027</v>
      </c>
      <c r="F226" s="285">
        <f t="shared" si="91"/>
        <v>681.62583697234345</v>
      </c>
      <c r="G226" s="285">
        <f t="shared" si="91"/>
        <v>725.04959389895123</v>
      </c>
      <c r="H226" s="285">
        <f t="shared" si="91"/>
        <v>364</v>
      </c>
    </row>
    <row r="227" spans="1:8" ht="14.4" x14ac:dyDescent="0.25">
      <c r="A227" s="297"/>
      <c r="C227" s="285"/>
      <c r="D227" s="284"/>
      <c r="E227" s="285"/>
      <c r="F227" s="284"/>
      <c r="G227" s="285"/>
      <c r="H227" s="285"/>
    </row>
    <row r="228" spans="1:8" ht="13.2" x14ac:dyDescent="0.25">
      <c r="A228" s="302" t="s">
        <v>241</v>
      </c>
      <c r="B228" s="295" t="s">
        <v>624</v>
      </c>
      <c r="C228" s="303">
        <v>3250</v>
      </c>
      <c r="D228" s="304">
        <v>24942</v>
      </c>
      <c r="E228" s="304">
        <v>39875</v>
      </c>
      <c r="F228" s="305">
        <v>28745</v>
      </c>
      <c r="G228" s="295">
        <v>15748</v>
      </c>
      <c r="H228" s="304">
        <v>12456</v>
      </c>
    </row>
    <row r="229" spans="1:8" x14ac:dyDescent="0.25">
      <c r="A229" s="295"/>
      <c r="B229" s="295" t="s">
        <v>625</v>
      </c>
      <c r="C229" s="306">
        <f>+C228*3.78/1000*856</f>
        <v>10515.960000000001</v>
      </c>
      <c r="D229" s="306">
        <f t="shared" ref="D229:H229" si="92">+D228*3.78/1000*856</f>
        <v>80704.330560000002</v>
      </c>
      <c r="E229" s="306">
        <f>+E228*3.78/1000*856</f>
        <v>129022.73999999999</v>
      </c>
      <c r="F229" s="306">
        <f>+F228*3.78/1000*856</f>
        <v>93009.621599999999</v>
      </c>
      <c r="G229" s="306">
        <f t="shared" si="92"/>
        <v>50955.488639999996</v>
      </c>
      <c r="H229" s="306">
        <f t="shared" si="92"/>
        <v>40303.630080000003</v>
      </c>
    </row>
    <row r="230" spans="1:8" x14ac:dyDescent="0.25">
      <c r="A230" s="295" t="s">
        <v>626</v>
      </c>
      <c r="B230" s="295" t="s">
        <v>1</v>
      </c>
      <c r="C230" s="306">
        <f>43829*C229/3600</f>
        <v>128028.8919</v>
      </c>
      <c r="D230" s="306">
        <f t="shared" ref="D230:H230" si="93">43829*D229/3600</f>
        <v>982552.80669840006</v>
      </c>
      <c r="E230" s="306">
        <f t="shared" si="93"/>
        <v>1570816.01985</v>
      </c>
      <c r="F230" s="306">
        <f>43829*F229/3600</f>
        <v>1132366.3069740001</v>
      </c>
      <c r="G230" s="306">
        <f t="shared" si="93"/>
        <v>620368.91988960002</v>
      </c>
      <c r="H230" s="306">
        <f t="shared" si="93"/>
        <v>490685.50077120005</v>
      </c>
    </row>
    <row r="231" spans="1:8" x14ac:dyDescent="0.25">
      <c r="A231" s="295"/>
      <c r="B231" s="295"/>
      <c r="C231" s="295"/>
      <c r="D231" s="295"/>
      <c r="E231" s="295"/>
      <c r="F231" s="295"/>
      <c r="G231" s="295"/>
      <c r="H231" s="295"/>
    </row>
    <row r="232" spans="1:8" x14ac:dyDescent="0.25">
      <c r="A232" s="295" t="s">
        <v>626</v>
      </c>
      <c r="B232" s="295" t="s">
        <v>1</v>
      </c>
      <c r="C232" s="306">
        <f>+C220*C224</f>
        <v>33924.433443344336</v>
      </c>
      <c r="D232" s="306">
        <f t="shared" ref="D232:H232" si="94">+D220*D224</f>
        <v>269903.21000000002</v>
      </c>
      <c r="E232" s="306">
        <f t="shared" si="94"/>
        <v>372767.04983999999</v>
      </c>
      <c r="F232" s="306">
        <f>+F220*F224</f>
        <v>374621.56</v>
      </c>
      <c r="G232" s="306">
        <f t="shared" si="94"/>
        <v>191893.58315519997</v>
      </c>
      <c r="H232" s="306">
        <f t="shared" si="94"/>
        <v>126519.12</v>
      </c>
    </row>
    <row r="233" spans="1:8" x14ac:dyDescent="0.25">
      <c r="A233" s="295" t="s">
        <v>628</v>
      </c>
      <c r="B233" s="295"/>
      <c r="C233" s="307">
        <f>+C232/C230</f>
        <v>0.26497482669647582</v>
      </c>
      <c r="D233" s="307">
        <f>+D232/D230</f>
        <v>0.27469588215511381</v>
      </c>
      <c r="E233" s="307">
        <f t="shared" ref="E233:H233" si="95">+E232/E230</f>
        <v>0.23730789928892893</v>
      </c>
      <c r="F233" s="307">
        <f t="shared" si="95"/>
        <v>0.33083071943485648</v>
      </c>
      <c r="G233" s="307">
        <f t="shared" si="95"/>
        <v>0.30932172293439375</v>
      </c>
      <c r="H233" s="307">
        <f t="shared" si="95"/>
        <v>0.25784157021381837</v>
      </c>
    </row>
    <row r="234" spans="1:8" x14ac:dyDescent="0.25">
      <c r="A234" s="216" t="s">
        <v>629</v>
      </c>
      <c r="C234" s="308">
        <v>0.128</v>
      </c>
    </row>
    <row r="235" spans="1:8" x14ac:dyDescent="0.25">
      <c r="A235" s="216" t="s">
        <v>630</v>
      </c>
      <c r="F235" s="241">
        <v>0.154</v>
      </c>
    </row>
    <row r="237" spans="1:8" x14ac:dyDescent="0.25">
      <c r="A237" s="216" t="s">
        <v>631</v>
      </c>
      <c r="B237" s="216" t="s">
        <v>632</v>
      </c>
      <c r="C237" s="216">
        <f>+C156*C6</f>
        <v>64789854.19788491</v>
      </c>
    </row>
    <row r="239" spans="1:8" ht="12.6" thickBot="1" x14ac:dyDescent="0.3">
      <c r="C239" s="217" t="s">
        <v>393</v>
      </c>
      <c r="D239" s="217" t="s">
        <v>394</v>
      </c>
      <c r="E239" s="217" t="s">
        <v>395</v>
      </c>
      <c r="F239" s="217" t="s">
        <v>396</v>
      </c>
      <c r="G239" s="217" t="s">
        <v>397</v>
      </c>
      <c r="H239" s="217" t="s">
        <v>398</v>
      </c>
    </row>
    <row r="240" spans="1:8" ht="16.2" x14ac:dyDescent="0.35">
      <c r="A240" s="414" t="s">
        <v>639</v>
      </c>
      <c r="B240" s="310" t="s">
        <v>640</v>
      </c>
      <c r="C240" s="241">
        <f t="shared" ref="C240:H242" si="96">C233</f>
        <v>0.26497482669647582</v>
      </c>
      <c r="D240" s="241">
        <f t="shared" si="96"/>
        <v>0.27469588215511381</v>
      </c>
      <c r="E240" s="241">
        <f t="shared" si="96"/>
        <v>0.23730789928892893</v>
      </c>
      <c r="F240" s="241">
        <f t="shared" si="96"/>
        <v>0.33083071943485648</v>
      </c>
      <c r="G240" s="241">
        <f t="shared" si="96"/>
        <v>0.30932172293439375</v>
      </c>
      <c r="H240" s="241">
        <f t="shared" si="96"/>
        <v>0.25784157021381837</v>
      </c>
    </row>
    <row r="241" spans="1:8" ht="16.2" x14ac:dyDescent="0.35">
      <c r="A241" s="414"/>
      <c r="B241" s="310" t="s">
        <v>641</v>
      </c>
      <c r="C241" s="241">
        <f>C234</f>
        <v>0.128</v>
      </c>
      <c r="D241" s="241">
        <f t="shared" si="96"/>
        <v>0</v>
      </c>
      <c r="E241" s="241">
        <f t="shared" si="96"/>
        <v>0</v>
      </c>
      <c r="F241" s="241">
        <f t="shared" si="96"/>
        <v>0</v>
      </c>
      <c r="G241" s="241">
        <f t="shared" si="96"/>
        <v>0</v>
      </c>
      <c r="H241" s="241">
        <f t="shared" si="96"/>
        <v>0</v>
      </c>
    </row>
    <row r="242" spans="1:8" ht="16.2" x14ac:dyDescent="0.35">
      <c r="A242" s="414"/>
      <c r="B242" s="310" t="s">
        <v>642</v>
      </c>
      <c r="C242" s="241">
        <f t="shared" si="96"/>
        <v>0</v>
      </c>
      <c r="D242" s="241">
        <f t="shared" si="96"/>
        <v>0</v>
      </c>
      <c r="E242" s="241">
        <f t="shared" si="96"/>
        <v>0</v>
      </c>
      <c r="F242" s="241">
        <f t="shared" si="96"/>
        <v>0.154</v>
      </c>
      <c r="G242" s="241">
        <f t="shared" si="96"/>
        <v>0</v>
      </c>
      <c r="H242" s="241">
        <f t="shared" si="96"/>
        <v>0</v>
      </c>
    </row>
    <row r="243" spans="1:8" ht="13.2" x14ac:dyDescent="0.3">
      <c r="A243" s="216" t="s">
        <v>644</v>
      </c>
      <c r="B243" s="216" t="s">
        <v>643</v>
      </c>
      <c r="C243" s="309">
        <f t="shared" ref="C243:H243" si="97">C167</f>
        <v>0.75718757203348552</v>
      </c>
      <c r="D243" s="309">
        <f t="shared" si="97"/>
        <v>0.57678744815256089</v>
      </c>
      <c r="E243" s="309">
        <f t="shared" si="97"/>
        <v>0.66889287560594612</v>
      </c>
      <c r="F243" s="309">
        <f t="shared" si="97"/>
        <v>0.54123573717130069</v>
      </c>
      <c r="G243" s="309">
        <f t="shared" si="97"/>
        <v>0.55722051491592106</v>
      </c>
      <c r="H243" s="309">
        <f t="shared" si="97"/>
        <v>0.67225096966724796</v>
      </c>
    </row>
    <row r="244" spans="1:8" ht="13.2" x14ac:dyDescent="0.3">
      <c r="A244" s="216" t="s">
        <v>528</v>
      </c>
      <c r="B244" s="216" t="s">
        <v>638</v>
      </c>
      <c r="C244" s="251">
        <f t="shared" ref="C244:H244" si="98">C199</f>
        <v>0.21366300793112306</v>
      </c>
      <c r="D244" s="251">
        <f t="shared" si="98"/>
        <v>0.155220869242748</v>
      </c>
      <c r="E244" s="251">
        <f t="shared" si="98"/>
        <v>0.17340123260473184</v>
      </c>
      <c r="F244" s="251">
        <f t="shared" si="98"/>
        <v>0.16190251976165301</v>
      </c>
      <c r="G244" s="251">
        <f t="shared" si="98"/>
        <v>0.1479105322155024</v>
      </c>
      <c r="H244" s="251">
        <f t="shared" si="98"/>
        <v>0.19027946427479761</v>
      </c>
    </row>
    <row r="251" spans="1:8" x14ac:dyDescent="0.25">
      <c r="H251" s="216" t="s">
        <v>753</v>
      </c>
    </row>
  </sheetData>
  <mergeCells count="34">
    <mergeCell ref="X24:Y24"/>
    <mergeCell ref="N24:O24"/>
    <mergeCell ref="P24:Q24"/>
    <mergeCell ref="R24:S24"/>
    <mergeCell ref="T24:U24"/>
    <mergeCell ref="V24:W24"/>
    <mergeCell ref="A23:A24"/>
    <mergeCell ref="A43:A44"/>
    <mergeCell ref="A66:H66"/>
    <mergeCell ref="A14:A18"/>
    <mergeCell ref="A20:A22"/>
    <mergeCell ref="A97:H97"/>
    <mergeCell ref="A125:H125"/>
    <mergeCell ref="A135:H135"/>
    <mergeCell ref="A40:H40"/>
    <mergeCell ref="A206:A207"/>
    <mergeCell ref="A79:H79"/>
    <mergeCell ref="A85:H85"/>
    <mergeCell ref="A240:A242"/>
    <mergeCell ref="X3:Y3"/>
    <mergeCell ref="M2:Y2"/>
    <mergeCell ref="A2:A3"/>
    <mergeCell ref="B2:B3"/>
    <mergeCell ref="C2:H2"/>
    <mergeCell ref="N3:O3"/>
    <mergeCell ref="P3:Q3"/>
    <mergeCell ref="R3:S3"/>
    <mergeCell ref="T3:U3"/>
    <mergeCell ref="V3:W3"/>
    <mergeCell ref="A12:H12"/>
    <mergeCell ref="A34:H34"/>
    <mergeCell ref="A151:H151"/>
    <mergeCell ref="A208:A209"/>
    <mergeCell ref="A210:A211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6478-7545-4B27-A7E4-9D00BC75D13E}">
  <dimension ref="B5:I17"/>
  <sheetViews>
    <sheetView topLeftCell="A32" workbookViewId="0">
      <selection activeCell="I21" sqref="I21"/>
    </sheetView>
  </sheetViews>
  <sheetFormatPr baseColWidth="10" defaultRowHeight="12" x14ac:dyDescent="0.25"/>
  <cols>
    <col min="2" max="2" width="46.875" customWidth="1"/>
    <col min="3" max="3" width="31.5" customWidth="1"/>
    <col min="5" max="5" width="10.875" bestFit="1" customWidth="1"/>
    <col min="6" max="7" width="11" bestFit="1" customWidth="1"/>
    <col min="8" max="8" width="10.875" bestFit="1" customWidth="1"/>
    <col min="9" max="9" width="11.5" bestFit="1" customWidth="1"/>
  </cols>
  <sheetData>
    <row r="5" spans="2:9" ht="12.6" thickBot="1" x14ac:dyDescent="0.3"/>
    <row r="6" spans="2:9" ht="15.6" x14ac:dyDescent="0.3">
      <c r="B6" s="459" t="s">
        <v>292</v>
      </c>
      <c r="C6" s="461" t="s">
        <v>293</v>
      </c>
      <c r="D6" s="463" t="s">
        <v>294</v>
      </c>
      <c r="E6" s="464"/>
      <c r="F6" s="464"/>
      <c r="G6" s="464"/>
      <c r="H6" s="464"/>
      <c r="I6" s="465"/>
    </row>
    <row r="7" spans="2:9" ht="46.8" x14ac:dyDescent="0.3">
      <c r="B7" s="460"/>
      <c r="C7" s="462"/>
      <c r="D7" s="178" t="s">
        <v>295</v>
      </c>
      <c r="E7" s="178" t="s">
        <v>296</v>
      </c>
      <c r="F7" s="178" t="s">
        <v>297</v>
      </c>
      <c r="G7" s="178" t="s">
        <v>298</v>
      </c>
      <c r="H7" s="178" t="s">
        <v>299</v>
      </c>
      <c r="I7" s="179" t="s">
        <v>300</v>
      </c>
    </row>
    <row r="8" spans="2:9" ht="14.4" thickBot="1" x14ac:dyDescent="0.3">
      <c r="B8" s="180" t="s">
        <v>301</v>
      </c>
      <c r="C8" s="180" t="s">
        <v>302</v>
      </c>
      <c r="D8" s="180">
        <v>542</v>
      </c>
      <c r="E8" s="180">
        <v>442</v>
      </c>
      <c r="F8" s="180">
        <v>452</v>
      </c>
      <c r="G8" s="180">
        <v>517</v>
      </c>
      <c r="H8" s="180">
        <v>430</v>
      </c>
      <c r="I8" s="180">
        <v>470</v>
      </c>
    </row>
    <row r="9" spans="2:9" ht="13.8" x14ac:dyDescent="0.25">
      <c r="B9" s="181" t="s">
        <v>303</v>
      </c>
      <c r="C9" s="182" t="s">
        <v>304</v>
      </c>
      <c r="D9" s="182">
        <v>19.5</v>
      </c>
      <c r="E9" s="182">
        <v>18.7</v>
      </c>
      <c r="F9" s="182">
        <v>20.100000000000001</v>
      </c>
      <c r="G9" s="182">
        <v>20.399999999999999</v>
      </c>
      <c r="H9" s="182">
        <v>21.7</v>
      </c>
      <c r="I9" s="182">
        <v>18.899999999999999</v>
      </c>
    </row>
    <row r="10" spans="2:9" ht="13.8" x14ac:dyDescent="0.25">
      <c r="B10" s="181" t="s">
        <v>305</v>
      </c>
      <c r="C10" s="182" t="s">
        <v>306</v>
      </c>
      <c r="D10" s="182">
        <v>0.01</v>
      </c>
      <c r="E10" s="182">
        <v>0.38</v>
      </c>
      <c r="F10" s="182" t="s">
        <v>307</v>
      </c>
      <c r="G10" s="182">
        <v>0.09</v>
      </c>
      <c r="H10" s="182">
        <v>0.04</v>
      </c>
      <c r="I10" s="182">
        <v>0.1</v>
      </c>
    </row>
    <row r="11" spans="2:9" x14ac:dyDescent="0.25">
      <c r="B11" s="183" t="s">
        <v>308</v>
      </c>
      <c r="C11" s="183"/>
      <c r="D11" s="183"/>
      <c r="E11" s="183"/>
      <c r="F11" s="183"/>
      <c r="G11" s="183"/>
      <c r="H11" s="183"/>
      <c r="I11" s="184"/>
    </row>
    <row r="12" spans="2:9" ht="13.8" x14ac:dyDescent="0.25">
      <c r="B12" s="181" t="s">
        <v>309</v>
      </c>
      <c r="C12" s="182" t="s">
        <v>310</v>
      </c>
      <c r="D12" s="182">
        <v>58.2</v>
      </c>
      <c r="E12" s="182">
        <v>105.5</v>
      </c>
      <c r="F12" s="182">
        <v>98</v>
      </c>
      <c r="G12" s="182">
        <v>102.7</v>
      </c>
      <c r="H12" s="185" t="e">
        <f>+H44/H20*1000</f>
        <v>#DIV/0!</v>
      </c>
      <c r="I12" s="185" t="e">
        <f>+I44/I20*1000</f>
        <v>#DIV/0!</v>
      </c>
    </row>
    <row r="13" spans="2:9" ht="13.8" x14ac:dyDescent="0.25">
      <c r="B13" s="181" t="s">
        <v>311</v>
      </c>
      <c r="C13" s="182" t="s">
        <v>310</v>
      </c>
      <c r="D13" s="182">
        <v>47.2</v>
      </c>
      <c r="E13" s="182">
        <v>41.2</v>
      </c>
      <c r="F13" s="182">
        <v>36.9</v>
      </c>
      <c r="G13" s="182">
        <v>31.28</v>
      </c>
      <c r="H13" s="182">
        <v>42.5</v>
      </c>
      <c r="I13" s="182">
        <v>45.9</v>
      </c>
    </row>
    <row r="14" spans="2:9" ht="13.8" x14ac:dyDescent="0.25">
      <c r="B14" s="181" t="s">
        <v>312</v>
      </c>
      <c r="C14" s="182" t="s">
        <v>310</v>
      </c>
      <c r="D14" s="182">
        <v>243.5</v>
      </c>
      <c r="E14" s="182">
        <v>224.6</v>
      </c>
      <c r="F14" s="182">
        <v>229</v>
      </c>
      <c r="G14" s="182">
        <v>185.5</v>
      </c>
      <c r="H14" s="182">
        <v>243.3</v>
      </c>
      <c r="I14" s="182">
        <v>213.5</v>
      </c>
    </row>
    <row r="15" spans="2:9" x14ac:dyDescent="0.25">
      <c r="B15" s="181" t="s">
        <v>313</v>
      </c>
      <c r="C15" s="182" t="s">
        <v>314</v>
      </c>
      <c r="D15" s="182" t="s">
        <v>315</v>
      </c>
      <c r="E15" s="182" t="s">
        <v>316</v>
      </c>
      <c r="F15" s="182" t="s">
        <v>317</v>
      </c>
      <c r="G15" s="182" t="s">
        <v>318</v>
      </c>
      <c r="H15" s="186" t="s">
        <v>319</v>
      </c>
      <c r="I15" s="182" t="s">
        <v>320</v>
      </c>
    </row>
    <row r="16" spans="2:9" ht="12.6" thickBot="1" x14ac:dyDescent="0.3">
      <c r="B16" s="187" t="s">
        <v>321</v>
      </c>
      <c r="C16" s="188" t="s">
        <v>314</v>
      </c>
      <c r="D16" s="188" t="s">
        <v>322</v>
      </c>
      <c r="E16" s="188" t="s">
        <v>322</v>
      </c>
      <c r="F16" s="188" t="s">
        <v>322</v>
      </c>
      <c r="G16" s="188">
        <v>15</v>
      </c>
      <c r="H16" s="188" t="s">
        <v>322</v>
      </c>
      <c r="I16" s="188" t="s">
        <v>322</v>
      </c>
    </row>
    <row r="17" ht="12.6" thickTop="1" x14ac:dyDescent="0.25"/>
  </sheetData>
  <mergeCells count="3">
    <mergeCell ref="B6:B7"/>
    <mergeCell ref="C6:C7"/>
    <mergeCell ref="D6:I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1C42-589D-4AAE-B3DC-A81E3C2E8481}">
  <dimension ref="A2:J83"/>
  <sheetViews>
    <sheetView zoomScale="55" zoomScaleNormal="55" workbookViewId="0">
      <pane ySplit="3" topLeftCell="A6" activePane="bottomLeft" state="frozen"/>
      <selection pane="bottomLeft" activeCell="F43" sqref="F43"/>
    </sheetView>
  </sheetViews>
  <sheetFormatPr baseColWidth="10" defaultRowHeight="12" x14ac:dyDescent="0.25"/>
  <cols>
    <col min="1" max="1" width="47.5" bestFit="1" customWidth="1"/>
    <col min="2" max="2" width="13.625" bestFit="1" customWidth="1"/>
    <col min="3" max="8" width="21.125" customWidth="1"/>
    <col min="9" max="9" width="12.5" bestFit="1" customWidth="1"/>
  </cols>
  <sheetData>
    <row r="2" spans="1:9" ht="15.6" x14ac:dyDescent="0.3">
      <c r="A2" s="396" t="s">
        <v>292</v>
      </c>
      <c r="B2" s="396" t="s">
        <v>293</v>
      </c>
      <c r="C2" s="396" t="s">
        <v>294</v>
      </c>
      <c r="D2" s="396"/>
      <c r="E2" s="396"/>
      <c r="F2" s="396"/>
      <c r="G2" s="396"/>
      <c r="H2" s="396"/>
    </row>
    <row r="3" spans="1:9" ht="31.2" x14ac:dyDescent="0.3">
      <c r="A3" s="396"/>
      <c r="B3" s="396"/>
      <c r="C3" s="313" t="s">
        <v>295</v>
      </c>
      <c r="D3" s="313" t="s">
        <v>296</v>
      </c>
      <c r="E3" s="313" t="s">
        <v>297</v>
      </c>
      <c r="F3" s="313" t="s">
        <v>298</v>
      </c>
      <c r="G3" s="313" t="s">
        <v>299</v>
      </c>
      <c r="H3" s="313" t="s">
        <v>300</v>
      </c>
    </row>
    <row r="4" spans="1:9" ht="15.6" x14ac:dyDescent="0.3">
      <c r="A4" s="312" t="s">
        <v>645</v>
      </c>
      <c r="B4" s="312"/>
      <c r="C4" s="313"/>
      <c r="D4" s="313"/>
      <c r="E4" s="313"/>
      <c r="F4" s="313"/>
      <c r="G4" s="313"/>
      <c r="H4" s="313"/>
    </row>
    <row r="5" spans="1:9" x14ac:dyDescent="0.25">
      <c r="A5" s="314" t="s">
        <v>323</v>
      </c>
      <c r="B5" s="318" t="s">
        <v>416</v>
      </c>
      <c r="C5" s="319">
        <f>+Eficiencia!C13</f>
        <v>30000</v>
      </c>
      <c r="D5" s="319">
        <f>+Eficiencia!D13</f>
        <v>40000</v>
      </c>
      <c r="E5" s="319">
        <f>+Eficiencia!E13</f>
        <v>30000</v>
      </c>
      <c r="F5" s="319">
        <f>+Eficiencia!F13</f>
        <v>24000</v>
      </c>
      <c r="G5" s="319">
        <v>30000</v>
      </c>
      <c r="H5" s="319">
        <f>+Eficiencia!H13</f>
        <v>20000</v>
      </c>
    </row>
    <row r="6" spans="1:9" ht="14.4" x14ac:dyDescent="0.25">
      <c r="A6" s="314" t="s">
        <v>646</v>
      </c>
      <c r="B6" s="315" t="s">
        <v>647</v>
      </c>
      <c r="C6" s="320">
        <f>+Eficiencia!O23</f>
        <v>11627.405684754522</v>
      </c>
      <c r="D6" s="320">
        <f>+Eficiencia!Q23</f>
        <v>14954.073643410853</v>
      </c>
      <c r="E6" s="320">
        <f>+Eficiencia!S23</f>
        <v>12199.79877260982</v>
      </c>
      <c r="F6" s="320">
        <f>+Eficiencia!U23</f>
        <v>9180.352041343669</v>
      </c>
      <c r="G6" s="320">
        <f>+Eficiencia!W23</f>
        <v>10323.693669250646</v>
      </c>
      <c r="H6" s="320">
        <f>+Eficiencia!Y23</f>
        <v>7436.5471576227401</v>
      </c>
    </row>
    <row r="7" spans="1:9" ht="14.4" x14ac:dyDescent="0.25">
      <c r="A7" s="314" t="s">
        <v>303</v>
      </c>
      <c r="B7" s="315" t="s">
        <v>648</v>
      </c>
      <c r="C7" s="127">
        <f>+Datos_Base!S8</f>
        <v>485.04367262859836</v>
      </c>
      <c r="D7" s="127">
        <f>+Datos_Base!T8</f>
        <v>904.8045926919209</v>
      </c>
      <c r="E7" s="127">
        <f>+Datos_Base!U8</f>
        <v>412.6669963866305</v>
      </c>
      <c r="F7" s="127">
        <f>+Datos_Base!V8</f>
        <v>790</v>
      </c>
      <c r="G7" s="127">
        <f>+Datos_Base!W8</f>
        <v>419.39799331103677</v>
      </c>
      <c r="H7" s="127">
        <f>+Datos_Base!X8</f>
        <v>555.90490486257931</v>
      </c>
    </row>
    <row r="8" spans="1:9" ht="13.8" x14ac:dyDescent="0.25">
      <c r="A8" s="314" t="s">
        <v>674</v>
      </c>
      <c r="B8" s="315" t="s">
        <v>675</v>
      </c>
      <c r="C8" s="127">
        <f>+Eficiencia!C138</f>
        <v>13842</v>
      </c>
      <c r="D8" s="127">
        <f>+Eficiencia!D138</f>
        <v>19048</v>
      </c>
      <c r="E8" s="127">
        <f>+Eficiencia!E138</f>
        <v>24720</v>
      </c>
      <c r="F8" s="127">
        <f>+Eficiencia!F138</f>
        <v>9878.4000000000015</v>
      </c>
      <c r="G8" s="127">
        <f>+Eficiencia!G138</f>
        <v>16020</v>
      </c>
      <c r="H8" s="127">
        <f>+Eficiencia!H138</f>
        <v>9720</v>
      </c>
      <c r="I8" s="10">
        <f>+MEDIAN(C8:H8)</f>
        <v>14931</v>
      </c>
    </row>
    <row r="9" spans="1:9" x14ac:dyDescent="0.25">
      <c r="A9" s="314"/>
      <c r="B9" s="315"/>
      <c r="C9" s="127"/>
      <c r="D9" s="127"/>
      <c r="E9" s="127"/>
      <c r="F9" s="127"/>
      <c r="G9" s="127"/>
      <c r="H9" s="127"/>
    </row>
    <row r="10" spans="1:9" ht="14.4" x14ac:dyDescent="0.25">
      <c r="A10" s="314" t="s">
        <v>649</v>
      </c>
      <c r="B10" s="315" t="s">
        <v>648</v>
      </c>
      <c r="C10" s="321">
        <f>+Eficiencia!N7*Eficiencia!O1</f>
        <v>2.4</v>
      </c>
      <c r="D10" s="321">
        <f>+Eficiencia!P7*Eficiencia!Q1</f>
        <v>4.8</v>
      </c>
      <c r="E10" s="321">
        <f>+Eficiencia!R7*Eficiencia!S1</f>
        <v>12.299999999999999</v>
      </c>
      <c r="F10" s="321">
        <f>+Eficiencia!T7*Eficiencia!U1</f>
        <v>5.3868857131751806</v>
      </c>
      <c r="G10" s="321">
        <f>+Eficiencia!V7*Eficiencia!W1</f>
        <v>9</v>
      </c>
      <c r="H10" s="321">
        <f>+Eficiencia!X7*Eficiencia!Y1</f>
        <v>3.8592161293125926</v>
      </c>
    </row>
    <row r="11" spans="1:9" ht="14.4" x14ac:dyDescent="0.25">
      <c r="A11" s="314" t="s">
        <v>650</v>
      </c>
      <c r="B11" s="315" t="s">
        <v>647</v>
      </c>
      <c r="C11" s="127">
        <f>+Eficiencia!O7</f>
        <v>4866.7361111111113</v>
      </c>
      <c r="D11" s="127">
        <f>+Eficiencia!Q7</f>
        <v>6156.9444444444443</v>
      </c>
      <c r="E11" s="127">
        <f>+Eficiencia!S7</f>
        <v>4588.25</v>
      </c>
      <c r="F11" s="127">
        <f>+Eficiencia!U7</f>
        <v>3681.7533333333336</v>
      </c>
      <c r="G11" s="127">
        <f>+Eficiencia!W7</f>
        <v>4559.8499999999995</v>
      </c>
      <c r="H11" s="127">
        <f>+Eficiencia!Y7</f>
        <v>3101.3888888888887</v>
      </c>
    </row>
    <row r="12" spans="1:9" ht="14.4" x14ac:dyDescent="0.25">
      <c r="A12" s="314" t="s">
        <v>649</v>
      </c>
      <c r="B12" s="315" t="s">
        <v>648</v>
      </c>
      <c r="C12" s="127">
        <f>2*C5/1000</f>
        <v>60</v>
      </c>
      <c r="D12" s="127">
        <f t="shared" ref="D12:H12" si="0">2*D5/1000</f>
        <v>80</v>
      </c>
      <c r="E12" s="127">
        <f t="shared" si="0"/>
        <v>60</v>
      </c>
      <c r="F12" s="127">
        <f t="shared" si="0"/>
        <v>48</v>
      </c>
      <c r="G12" s="127">
        <f t="shared" si="0"/>
        <v>60</v>
      </c>
      <c r="H12" s="127">
        <f t="shared" si="0"/>
        <v>40</v>
      </c>
    </row>
    <row r="13" spans="1:9" ht="14.4" x14ac:dyDescent="0.25">
      <c r="A13" s="314" t="s">
        <v>650</v>
      </c>
      <c r="B13" s="315" t="s">
        <v>647</v>
      </c>
      <c r="C13" s="127">
        <f>315*C5/1000*2750/3600</f>
        <v>7218.75</v>
      </c>
      <c r="D13" s="127">
        <f t="shared" ref="D13:H13" si="1">315*D5/1000*2750/3600</f>
        <v>9625</v>
      </c>
      <c r="E13" s="127">
        <f t="shared" si="1"/>
        <v>7218.75</v>
      </c>
      <c r="F13" s="127">
        <f t="shared" si="1"/>
        <v>5775</v>
      </c>
      <c r="G13" s="127">
        <f t="shared" si="1"/>
        <v>7218.75</v>
      </c>
      <c r="H13" s="127">
        <f t="shared" si="1"/>
        <v>4812.5</v>
      </c>
    </row>
    <row r="14" spans="1:9" x14ac:dyDescent="0.25">
      <c r="A14" s="314"/>
      <c r="B14" s="315"/>
      <c r="C14" s="127"/>
      <c r="D14" s="127"/>
      <c r="E14" s="127"/>
      <c r="F14" s="127"/>
      <c r="G14" s="127"/>
      <c r="H14" s="127"/>
    </row>
    <row r="15" spans="1:9" ht="14.4" x14ac:dyDescent="0.25">
      <c r="A15" s="314" t="s">
        <v>651</v>
      </c>
      <c r="B15" s="315" t="s">
        <v>647</v>
      </c>
      <c r="C15" s="127">
        <f t="shared" ref="C15:H15" si="2">+C6-C11+C13</f>
        <v>13979.41957364341</v>
      </c>
      <c r="D15" s="127">
        <f t="shared" si="2"/>
        <v>18422.12919896641</v>
      </c>
      <c r="E15" s="127">
        <f t="shared" si="2"/>
        <v>14830.29877260982</v>
      </c>
      <c r="F15" s="127">
        <f t="shared" si="2"/>
        <v>11273.598708010335</v>
      </c>
      <c r="G15" s="127">
        <f t="shared" si="2"/>
        <v>12982.593669250648</v>
      </c>
      <c r="H15" s="127">
        <f t="shared" si="2"/>
        <v>9147.6582687338523</v>
      </c>
      <c r="I15" s="10">
        <f>+MEDIAN(C15:H15)</f>
        <v>13481.006621447028</v>
      </c>
    </row>
    <row r="16" spans="1:9" ht="14.4" x14ac:dyDescent="0.25">
      <c r="A16" s="314" t="s">
        <v>652</v>
      </c>
      <c r="B16" s="315" t="s">
        <v>648</v>
      </c>
      <c r="C16" s="127">
        <f t="shared" ref="C16:H16" si="3">+C7-C10+C12</f>
        <v>542.64367262859832</v>
      </c>
      <c r="D16" s="127">
        <f t="shared" si="3"/>
        <v>980.00459269192095</v>
      </c>
      <c r="E16" s="127">
        <f t="shared" si="3"/>
        <v>460.36699638663049</v>
      </c>
      <c r="F16" s="127">
        <f t="shared" si="3"/>
        <v>832.61311428682484</v>
      </c>
      <c r="G16" s="127">
        <f t="shared" si="3"/>
        <v>470.39799331103677</v>
      </c>
      <c r="H16" s="127">
        <f t="shared" si="3"/>
        <v>592.04568873326673</v>
      </c>
      <c r="I16" s="10">
        <f>+MEDIAN(C16:H16)</f>
        <v>567.34468068093247</v>
      </c>
    </row>
    <row r="17" spans="1:9" x14ac:dyDescent="0.25">
      <c r="A17" s="314"/>
      <c r="B17" s="315"/>
      <c r="C17" s="127"/>
      <c r="D17" s="127"/>
      <c r="E17" s="127"/>
      <c r="F17" s="127"/>
      <c r="G17" s="127"/>
      <c r="H17" s="127"/>
    </row>
    <row r="18" spans="1:9" x14ac:dyDescent="0.25">
      <c r="A18" s="315" t="s">
        <v>308</v>
      </c>
      <c r="B18" s="315"/>
      <c r="C18" s="315"/>
      <c r="D18" s="315"/>
      <c r="E18" s="315"/>
      <c r="F18" s="315"/>
      <c r="G18" s="315"/>
      <c r="H18" s="315"/>
    </row>
    <row r="19" spans="1:9" ht="13.8" x14ac:dyDescent="0.25">
      <c r="A19" s="314" t="s">
        <v>309</v>
      </c>
      <c r="B19" s="316" t="s">
        <v>653</v>
      </c>
      <c r="C19" s="322">
        <f>+Eficiencia!C127</f>
        <v>1800</v>
      </c>
      <c r="D19" s="322">
        <f>+Eficiencia!D127</f>
        <v>1648.1086323957325</v>
      </c>
      <c r="E19" s="322">
        <f>+Eficiencia!E127</f>
        <v>1350</v>
      </c>
      <c r="F19" s="322">
        <f>+Eficiencia!F127</f>
        <v>1368.0858806404658</v>
      </c>
      <c r="G19" s="322">
        <f>+Eficiencia!G127</f>
        <v>1094.375595805529</v>
      </c>
      <c r="H19" s="322">
        <f>+Eficiencia!H127</f>
        <v>1399.7928534438115</v>
      </c>
    </row>
    <row r="20" spans="1:9" ht="13.8" x14ac:dyDescent="0.25">
      <c r="A20" s="314" t="s">
        <v>311</v>
      </c>
      <c r="B20" s="316" t="s">
        <v>653</v>
      </c>
      <c r="C20" s="323">
        <f>+Eficiencia!C52</f>
        <v>3690</v>
      </c>
      <c r="D20" s="323">
        <f>+Eficiencia!D52</f>
        <v>5000</v>
      </c>
      <c r="E20" s="323">
        <f>+Eficiencia!E52</f>
        <v>3810</v>
      </c>
      <c r="F20" s="323">
        <f>+Eficiencia!F52</f>
        <v>2976</v>
      </c>
      <c r="G20" s="323">
        <f>+Eficiencia!G52</f>
        <v>3930</v>
      </c>
      <c r="H20" s="323">
        <f>+Eficiencia!H52</f>
        <v>2540</v>
      </c>
    </row>
    <row r="21" spans="1:9" ht="13.8" x14ac:dyDescent="0.25">
      <c r="A21" s="314" t="s">
        <v>312</v>
      </c>
      <c r="B21" s="316" t="s">
        <v>653</v>
      </c>
      <c r="C21" s="323">
        <f>+Eficiencia!C36</f>
        <v>7290</v>
      </c>
      <c r="D21" s="323">
        <f>+Eficiencia!D36</f>
        <v>9000</v>
      </c>
      <c r="E21" s="323">
        <f>+Eficiencia!E36</f>
        <v>6870</v>
      </c>
      <c r="F21" s="323">
        <f>+Eficiencia!F36</f>
        <v>4464</v>
      </c>
      <c r="G21" s="323">
        <f>+Eficiencia!G36</f>
        <v>7302</v>
      </c>
      <c r="H21" s="323">
        <f>+Eficiencia!H36</f>
        <v>4270</v>
      </c>
    </row>
    <row r="23" spans="1:9" ht="14.4" x14ac:dyDescent="0.25">
      <c r="A23" s="314" t="s">
        <v>655</v>
      </c>
      <c r="B23" s="315" t="s">
        <v>648</v>
      </c>
      <c r="C23" s="127">
        <f>15*C21/1000</f>
        <v>109.35</v>
      </c>
      <c r="D23" s="127">
        <f t="shared" ref="D23:H23" si="4">15*D21/1000</f>
        <v>135</v>
      </c>
      <c r="E23" s="127">
        <f t="shared" si="4"/>
        <v>103.05</v>
      </c>
      <c r="F23" s="127">
        <f t="shared" si="4"/>
        <v>66.959999999999994</v>
      </c>
      <c r="G23" s="127">
        <f t="shared" si="4"/>
        <v>109.53</v>
      </c>
      <c r="H23" s="127">
        <f t="shared" si="4"/>
        <v>64.05</v>
      </c>
    </row>
    <row r="24" spans="1:9" ht="14.4" x14ac:dyDescent="0.25">
      <c r="A24" s="314" t="s">
        <v>654</v>
      </c>
      <c r="B24" s="315" t="s">
        <v>647</v>
      </c>
      <c r="C24" s="127">
        <f>371*C21/1000</f>
        <v>2704.59</v>
      </c>
      <c r="D24" s="127">
        <f t="shared" ref="D24:H24" si="5">371*D21/1000</f>
        <v>3339</v>
      </c>
      <c r="E24" s="127">
        <f t="shared" si="5"/>
        <v>2548.77</v>
      </c>
      <c r="F24" s="127">
        <f t="shared" si="5"/>
        <v>1656.144</v>
      </c>
      <c r="G24" s="127">
        <f t="shared" si="5"/>
        <v>2709.0419999999999</v>
      </c>
      <c r="H24" s="127">
        <f t="shared" si="5"/>
        <v>1584.17</v>
      </c>
    </row>
    <row r="25" spans="1:9" x14ac:dyDescent="0.25">
      <c r="A25" s="314"/>
      <c r="B25" s="316"/>
      <c r="C25" s="127">
        <f>+C24/(C6/1000)</f>
        <v>232.60476784999179</v>
      </c>
      <c r="D25" s="127">
        <f t="shared" ref="D25:H25" si="6">+D24/(D6/1000)</f>
        <v>223.28364027224441</v>
      </c>
      <c r="E25" s="127">
        <f t="shared" si="6"/>
        <v>208.91901969090915</v>
      </c>
      <c r="F25" s="127">
        <f t="shared" si="6"/>
        <v>180.40092499084608</v>
      </c>
      <c r="G25" s="127">
        <f t="shared" si="6"/>
        <v>262.41014958327776</v>
      </c>
      <c r="H25" s="127">
        <f t="shared" si="6"/>
        <v>213.02493837831264</v>
      </c>
      <c r="I25" s="10">
        <f>+MEDIAN(C25:H25)</f>
        <v>218.15428932527851</v>
      </c>
    </row>
    <row r="26" spans="1:9" ht="14.4" x14ac:dyDescent="0.25">
      <c r="A26" s="314" t="s">
        <v>656</v>
      </c>
      <c r="B26" s="315" t="s">
        <v>647</v>
      </c>
      <c r="C26" s="127">
        <f>+C19*Biomass!$G$15/3600</f>
        <v>8120.3015160125015</v>
      </c>
      <c r="D26" s="127">
        <f>+D19*Biomass!$G$15/3600</f>
        <v>7435.0772367757536</v>
      </c>
      <c r="E26" s="127">
        <f>+E19*Biomass!$G$15/3600</f>
        <v>6090.2261370093756</v>
      </c>
      <c r="F26" s="127">
        <f>+F19*Biomass!$G$15/3600</f>
        <v>6171.8165836667076</v>
      </c>
      <c r="G26" s="127">
        <f>+G19*Biomass!$G$15/3600</f>
        <v>4937.0332276148456</v>
      </c>
      <c r="H26" s="127">
        <f>+H19*Biomass!$G$15/3600</f>
        <v>6314.8555721795819</v>
      </c>
    </row>
    <row r="27" spans="1:9" ht="14.4" x14ac:dyDescent="0.25">
      <c r="A27" s="314" t="s">
        <v>658</v>
      </c>
      <c r="B27" s="315" t="s">
        <v>647</v>
      </c>
      <c r="C27" s="127">
        <f>+C20*Biomass!$E$15/3600</f>
        <v>12809.004456967878</v>
      </c>
      <c r="D27" s="127">
        <f>+D20*Biomass!$E$15/3600</f>
        <v>17356.374602937503</v>
      </c>
      <c r="E27" s="127">
        <f>+E20*Biomass!$E$15/3600</f>
        <v>13225.557447438377</v>
      </c>
      <c r="F27" s="127">
        <f>+F20*Biomass!$E$15/3600</f>
        <v>10330.514163668402</v>
      </c>
      <c r="G27" s="127">
        <f>+G20*Biomass!$E$15/3600</f>
        <v>13642.110437908876</v>
      </c>
      <c r="H27" s="127">
        <f>+H20*Biomass!$E$15/3600</f>
        <v>8817.0382982922511</v>
      </c>
    </row>
    <row r="28" spans="1:9" ht="14.4" x14ac:dyDescent="0.25">
      <c r="A28" s="314" t="s">
        <v>657</v>
      </c>
      <c r="B28" s="315" t="s">
        <v>647</v>
      </c>
      <c r="C28" s="127">
        <f>0.4/0.9*C21*Biomass!$K$15/3600</f>
        <v>14873.064992928001</v>
      </c>
      <c r="D28" s="127">
        <f>0.4/0.9*D21*Biomass!$K$15/3600</f>
        <v>18361.808633244447</v>
      </c>
      <c r="E28" s="127">
        <f>0.4/0.9*E21*Biomass!$K$15/3600</f>
        <v>14016.180590043261</v>
      </c>
      <c r="F28" s="127">
        <f>0.4/0.9*F21*Biomass!$K$15/3600</f>
        <v>9107.4570820892459</v>
      </c>
      <c r="G28" s="127">
        <f>0.4/0.9*G21*Biomass!$K$15/3600</f>
        <v>14897.547404438994</v>
      </c>
      <c r="H28" s="127">
        <f>0.4/0.9*H21*Biomass!$K$15/3600</f>
        <v>8711.6580959948642</v>
      </c>
    </row>
    <row r="29" spans="1:9" ht="14.4" x14ac:dyDescent="0.25">
      <c r="A29" s="314" t="s">
        <v>719</v>
      </c>
      <c r="B29" s="315" t="s">
        <v>647</v>
      </c>
      <c r="C29" s="127">
        <f>+C28+C27+C26</f>
        <v>35802.370965908376</v>
      </c>
      <c r="D29" s="127">
        <f t="shared" ref="D29:H29" si="7">+D28+D27+D26</f>
        <v>43153.260472957707</v>
      </c>
      <c r="E29" s="127">
        <f t="shared" si="7"/>
        <v>33331.964174491011</v>
      </c>
      <c r="F29" s="127">
        <f t="shared" si="7"/>
        <v>25609.787829424353</v>
      </c>
      <c r="G29" s="127">
        <f t="shared" si="7"/>
        <v>33476.691069962719</v>
      </c>
      <c r="H29" s="127">
        <f t="shared" si="7"/>
        <v>23843.551966466697</v>
      </c>
    </row>
    <row r="30" spans="1:9" x14ac:dyDescent="0.25">
      <c r="A30" s="314"/>
      <c r="B30" s="316"/>
      <c r="C30" s="127">
        <f>+(SUM(C26:C28)-C31)</f>
        <v>5370.3556448862582</v>
      </c>
      <c r="D30" s="127">
        <f t="shared" ref="D30:H30" si="8">+(SUM(D26:D28)-D31)</f>
        <v>6472.9890709436586</v>
      </c>
      <c r="E30" s="127">
        <f t="shared" si="8"/>
        <v>4999.7946261736543</v>
      </c>
      <c r="F30" s="127">
        <f t="shared" si="8"/>
        <v>3841.4681744136542</v>
      </c>
      <c r="G30" s="127">
        <f t="shared" si="8"/>
        <v>5021.5036604944071</v>
      </c>
      <c r="H30" s="127">
        <f t="shared" si="8"/>
        <v>3576.532794970004</v>
      </c>
      <c r="I30" s="10">
        <f>+MEDIAN(C30:H30)</f>
        <v>5010.6491433340307</v>
      </c>
    </row>
    <row r="31" spans="1:9" ht="14.4" x14ac:dyDescent="0.25">
      <c r="A31" s="314" t="s">
        <v>659</v>
      </c>
      <c r="B31" s="315" t="s">
        <v>647</v>
      </c>
      <c r="C31" s="127">
        <f t="shared" ref="C31:H31" si="9">+(C26+C27+C28)*0.85</f>
        <v>30432.015321022125</v>
      </c>
      <c r="D31" s="127">
        <f t="shared" si="9"/>
        <v>36680.271402014041</v>
      </c>
      <c r="E31" s="127">
        <f t="shared" si="9"/>
        <v>28332.169548317357</v>
      </c>
      <c r="F31" s="127">
        <f t="shared" si="9"/>
        <v>21768.319655010702</v>
      </c>
      <c r="G31" s="127">
        <f t="shared" si="9"/>
        <v>28455.187409468304</v>
      </c>
      <c r="H31" s="127">
        <f t="shared" si="9"/>
        <v>20267.019171496693</v>
      </c>
      <c r="I31" s="10">
        <f>+MEDIAN(C31:H31)</f>
        <v>28393.678478892831</v>
      </c>
    </row>
    <row r="32" spans="1:9" ht="13.8" x14ac:dyDescent="0.25">
      <c r="A32" s="314" t="s">
        <v>660</v>
      </c>
      <c r="B32" s="316" t="s">
        <v>653</v>
      </c>
      <c r="C32" s="127">
        <f t="shared" ref="C32:H32" si="10">+C31*3600/(3331.2-1087)</f>
        <v>48817.064056536692</v>
      </c>
      <c r="D32" s="127">
        <f t="shared" si="10"/>
        <v>58840.110973732539</v>
      </c>
      <c r="E32" s="127">
        <f t="shared" si="10"/>
        <v>45448.627739926247</v>
      </c>
      <c r="F32" s="127">
        <f t="shared" si="10"/>
        <v>34919.325709846948</v>
      </c>
      <c r="G32" s="127">
        <f t="shared" si="10"/>
        <v>45645.965009395732</v>
      </c>
      <c r="H32" s="127">
        <f t="shared" si="10"/>
        <v>32511.036902855405</v>
      </c>
      <c r="I32" s="10">
        <f t="shared" ref="I32:I41" si="11">+MEDIAN(C32:H32)</f>
        <v>45547.296374660989</v>
      </c>
    </row>
    <row r="33" spans="1:10" ht="13.8" x14ac:dyDescent="0.25">
      <c r="A33" s="314" t="s">
        <v>661</v>
      </c>
      <c r="B33" s="316" t="s">
        <v>653</v>
      </c>
      <c r="C33" s="127">
        <f>+C15*3600/2885</f>
        <v>17443.989762605295</v>
      </c>
      <c r="D33" s="127">
        <f t="shared" ref="D33:H33" si="12">+D15*3600/2885</f>
        <v>22987.752206682522</v>
      </c>
      <c r="E33" s="127">
        <f t="shared" si="12"/>
        <v>18505.745435492321</v>
      </c>
      <c r="F33" s="127">
        <f t="shared" si="12"/>
        <v>14067.575510862116</v>
      </c>
      <c r="G33" s="127">
        <f t="shared" si="12"/>
        <v>16200.116883640321</v>
      </c>
      <c r="H33" s="127">
        <f t="shared" si="12"/>
        <v>11414.755551972918</v>
      </c>
      <c r="I33" s="10">
        <f t="shared" si="11"/>
        <v>16822.053323122807</v>
      </c>
    </row>
    <row r="34" spans="1:10" x14ac:dyDescent="0.25">
      <c r="A34" s="314"/>
      <c r="B34" s="316"/>
      <c r="C34" s="325"/>
      <c r="D34" s="325"/>
      <c r="E34" s="325"/>
      <c r="F34" s="325"/>
      <c r="G34" s="325"/>
      <c r="H34" s="325"/>
      <c r="I34" s="10"/>
    </row>
    <row r="35" spans="1:10" ht="14.4" x14ac:dyDescent="0.25">
      <c r="A35" s="314" t="s">
        <v>662</v>
      </c>
      <c r="B35" s="315" t="s">
        <v>648</v>
      </c>
      <c r="C35" s="127">
        <f>(((C33)*(3366.7-2885))+((C32-C33)*(2885-2296))*0.95*0.92)/3600</f>
        <v>6820.3303589229827</v>
      </c>
      <c r="D35" s="127">
        <f t="shared" ref="D35:H35" si="13">(((D33)*(3366.7-2885))+((D32-D33)*(2885-2296))*0.95*0.92)/3600</f>
        <v>8202.6368328371027</v>
      </c>
      <c r="E35" s="127">
        <f t="shared" si="13"/>
        <v>6328.8989406241581</v>
      </c>
      <c r="F35" s="127">
        <f t="shared" si="13"/>
        <v>4864.0389448658016</v>
      </c>
      <c r="G35" s="127">
        <f t="shared" si="13"/>
        <v>6378.3074100318508</v>
      </c>
      <c r="H35" s="127">
        <f t="shared" si="13"/>
        <v>4544.043900244651</v>
      </c>
      <c r="I35" s="10">
        <f>+MEDIAN(C35:H35)</f>
        <v>6353.603175328004</v>
      </c>
    </row>
    <row r="36" spans="1:10" ht="14.4" x14ac:dyDescent="0.25">
      <c r="A36" s="314" t="s">
        <v>663</v>
      </c>
      <c r="B36" s="315" t="s">
        <v>648</v>
      </c>
      <c r="C36" s="127">
        <f t="shared" ref="C36:H36" si="14">+C35-C16-C23-(0.142*C35)</f>
        <v>5199.8497753273205</v>
      </c>
      <c r="D36" s="127">
        <f t="shared" si="14"/>
        <v>5922.8578098823127</v>
      </c>
      <c r="E36" s="127">
        <f t="shared" si="14"/>
        <v>4866.7782946688967</v>
      </c>
      <c r="F36" s="127">
        <f t="shared" si="14"/>
        <v>3273.7723004080331</v>
      </c>
      <c r="G36" s="127">
        <f t="shared" si="14"/>
        <v>4892.6597644962912</v>
      </c>
      <c r="H36" s="127">
        <f t="shared" si="14"/>
        <v>3242.693977676644</v>
      </c>
      <c r="I36" s="10">
        <f t="shared" si="11"/>
        <v>4879.719029582594</v>
      </c>
    </row>
    <row r="37" spans="1:10" x14ac:dyDescent="0.25">
      <c r="A37" s="314"/>
      <c r="B37" s="315"/>
      <c r="C37" s="127">
        <f>+C35-C36</f>
        <v>1620.4805835956622</v>
      </c>
      <c r="D37" s="127">
        <f t="shared" ref="D37:H37" si="15">+D35-D36</f>
        <v>2279.77902295479</v>
      </c>
      <c r="E37" s="127">
        <f t="shared" si="15"/>
        <v>1462.1206459552614</v>
      </c>
      <c r="F37" s="127">
        <f t="shared" si="15"/>
        <v>1590.2666444577685</v>
      </c>
      <c r="G37" s="127">
        <f t="shared" si="15"/>
        <v>1485.6476455355596</v>
      </c>
      <c r="H37" s="127">
        <f t="shared" si="15"/>
        <v>1301.3499225680071</v>
      </c>
      <c r="I37" s="10">
        <f t="shared" si="11"/>
        <v>1537.9571449966641</v>
      </c>
    </row>
    <row r="38" spans="1:10" ht="13.8" x14ac:dyDescent="0.25">
      <c r="A38" s="314" t="s">
        <v>369</v>
      </c>
      <c r="B38" s="316" t="s">
        <v>665</v>
      </c>
      <c r="C38" s="127">
        <f>+Eficiencia!C149</f>
        <v>18000</v>
      </c>
      <c r="D38" s="127">
        <f>+Eficiencia!D149</f>
        <v>24000</v>
      </c>
      <c r="E38" s="127">
        <f>+Eficiencia!E149</f>
        <v>18000</v>
      </c>
      <c r="F38" s="127">
        <f>+Eficiencia!F149</f>
        <v>14400</v>
      </c>
      <c r="G38" s="127">
        <f>+Eficiencia!G149</f>
        <v>18000</v>
      </c>
      <c r="H38" s="127">
        <f>+Eficiencia!H149</f>
        <v>12000</v>
      </c>
      <c r="I38" s="10">
        <f t="shared" si="11"/>
        <v>18000</v>
      </c>
    </row>
    <row r="39" spans="1:10" x14ac:dyDescent="0.25">
      <c r="A39" s="314"/>
      <c r="B39" s="316"/>
      <c r="C39" s="127">
        <f>0.95*C38/(C5/1000)</f>
        <v>570</v>
      </c>
      <c r="D39" s="127">
        <f t="shared" ref="D39:H39" si="16">0.95*D38/(D5/1000)</f>
        <v>570</v>
      </c>
      <c r="E39" s="127">
        <f t="shared" si="16"/>
        <v>570</v>
      </c>
      <c r="F39" s="127">
        <f t="shared" si="16"/>
        <v>570</v>
      </c>
      <c r="G39" s="127">
        <f t="shared" si="16"/>
        <v>570</v>
      </c>
      <c r="H39" s="127">
        <f t="shared" si="16"/>
        <v>570</v>
      </c>
      <c r="I39" s="10">
        <f t="shared" si="11"/>
        <v>570</v>
      </c>
    </row>
    <row r="40" spans="1:10" x14ac:dyDescent="0.25">
      <c r="A40" s="314" t="s">
        <v>666</v>
      </c>
      <c r="B40" s="316" t="s">
        <v>664</v>
      </c>
      <c r="C40" s="326">
        <v>74496</v>
      </c>
      <c r="D40" s="326">
        <v>97777</v>
      </c>
      <c r="E40" s="326">
        <v>91573</v>
      </c>
      <c r="F40" s="326">
        <v>122973</v>
      </c>
      <c r="G40" s="326">
        <v>97338</v>
      </c>
      <c r="H40" s="326">
        <v>94964</v>
      </c>
      <c r="I40" s="10">
        <f t="shared" si="11"/>
        <v>96151</v>
      </c>
    </row>
    <row r="41" spans="1:10" ht="13.8" x14ac:dyDescent="0.25">
      <c r="A41" s="314" t="s">
        <v>668</v>
      </c>
      <c r="B41" s="316" t="s">
        <v>667</v>
      </c>
      <c r="C41" s="327">
        <f>+(C40-1500)*C38/1000000*0.35</f>
        <v>459.87479999999999</v>
      </c>
      <c r="D41" s="327">
        <f t="shared" ref="D41:H41" si="17">+(D40-1500)*D38/1000000*0.35</f>
        <v>808.72680000000003</v>
      </c>
      <c r="E41" s="327">
        <f t="shared" si="17"/>
        <v>567.45989999999995</v>
      </c>
      <c r="F41" s="327">
        <f t="shared" si="17"/>
        <v>612.22391999999991</v>
      </c>
      <c r="G41" s="327">
        <f t="shared" si="17"/>
        <v>603.77940000000001</v>
      </c>
      <c r="H41" s="327">
        <f t="shared" si="17"/>
        <v>392.54879999999997</v>
      </c>
      <c r="I41" s="10">
        <f t="shared" si="11"/>
        <v>585.61964999999998</v>
      </c>
    </row>
    <row r="42" spans="1:10" ht="13.2" x14ac:dyDescent="0.25">
      <c r="A42" s="314" t="s">
        <v>669</v>
      </c>
      <c r="B42" s="316" t="s">
        <v>670</v>
      </c>
      <c r="C42" s="127">
        <f>9.94*C41</f>
        <v>4571.1555119999994</v>
      </c>
      <c r="D42" s="127">
        <f t="shared" ref="D42:H42" si="18">9.94*D41</f>
        <v>8038.7443919999996</v>
      </c>
      <c r="E42" s="127">
        <f t="shared" si="18"/>
        <v>5640.5514059999996</v>
      </c>
      <c r="F42" s="127">
        <f t="shared" si="18"/>
        <v>6085.5057647999984</v>
      </c>
      <c r="G42" s="127">
        <f t="shared" si="18"/>
        <v>6001.5672359999999</v>
      </c>
      <c r="H42" s="127">
        <f t="shared" si="18"/>
        <v>3901.9350719999993</v>
      </c>
    </row>
    <row r="43" spans="1:10" x14ac:dyDescent="0.25">
      <c r="A43" s="314"/>
      <c r="B43" s="316"/>
    </row>
    <row r="44" spans="1:10" ht="14.4" x14ac:dyDescent="0.25">
      <c r="A44" s="314" t="s">
        <v>671</v>
      </c>
      <c r="B44" s="315" t="s">
        <v>648</v>
      </c>
      <c r="C44" s="127">
        <f>+C42*0.4</f>
        <v>1828.4622047999999</v>
      </c>
      <c r="D44" s="127">
        <f t="shared" ref="D44:G44" si="19">+D42*0.4</f>
        <v>3215.4977567999999</v>
      </c>
      <c r="E44" s="127">
        <f t="shared" si="19"/>
        <v>2256.2205623999998</v>
      </c>
      <c r="F44" s="127">
        <f t="shared" si="19"/>
        <v>2434.2023059199996</v>
      </c>
      <c r="G44" s="127">
        <f t="shared" si="19"/>
        <v>2400.6268943999999</v>
      </c>
      <c r="H44" s="127">
        <f>+H42*0.4</f>
        <v>1560.7740287999998</v>
      </c>
      <c r="I44" s="10">
        <f>+MEDIAN(C44:H44)</f>
        <v>2328.4237284000001</v>
      </c>
      <c r="J44" s="10">
        <f>+I44+I35</f>
        <v>8682.026903728005</v>
      </c>
    </row>
    <row r="45" spans="1:10" ht="14.4" x14ac:dyDescent="0.25">
      <c r="A45" s="314" t="s">
        <v>672</v>
      </c>
      <c r="B45" s="315" t="s">
        <v>648</v>
      </c>
      <c r="C45" s="127">
        <f>+C44*0.8</f>
        <v>1462.76976384</v>
      </c>
      <c r="D45" s="127">
        <f t="shared" ref="D45:H45" si="20">+D44*0.8</f>
        <v>2572.3982054400003</v>
      </c>
      <c r="E45" s="127">
        <f t="shared" si="20"/>
        <v>1804.9764499200001</v>
      </c>
      <c r="F45" s="127">
        <f t="shared" si="20"/>
        <v>1947.3618447359997</v>
      </c>
      <c r="G45" s="127">
        <f t="shared" si="20"/>
        <v>1920.5015155199999</v>
      </c>
      <c r="H45" s="127">
        <f t="shared" si="20"/>
        <v>1248.61922304</v>
      </c>
      <c r="I45" s="10">
        <f t="shared" ref="I45" si="21">+MEDIAN(C45:H45)</f>
        <v>1862.73898272</v>
      </c>
    </row>
    <row r="46" spans="1:10" x14ac:dyDescent="0.25">
      <c r="A46" s="314"/>
      <c r="B46" s="316"/>
      <c r="C46" s="10"/>
      <c r="D46" s="10"/>
      <c r="E46" s="10"/>
      <c r="F46" s="10"/>
      <c r="G46" s="10"/>
      <c r="H46" s="10"/>
      <c r="I46" s="10"/>
    </row>
    <row r="47" spans="1:10" ht="14.4" x14ac:dyDescent="0.25">
      <c r="A47" s="314" t="s">
        <v>673</v>
      </c>
      <c r="B47" s="315" t="s">
        <v>648</v>
      </c>
      <c r="C47" s="127">
        <f>+C45+C36</f>
        <v>6662.6195391673209</v>
      </c>
      <c r="D47" s="127">
        <f t="shared" ref="D47:H47" si="22">+D45+D36</f>
        <v>8495.256015322313</v>
      </c>
      <c r="E47" s="127">
        <f t="shared" si="22"/>
        <v>6671.7547445888968</v>
      </c>
      <c r="F47" s="127">
        <f t="shared" si="22"/>
        <v>5221.134145144033</v>
      </c>
      <c r="G47" s="127">
        <f t="shared" si="22"/>
        <v>6813.1612800162911</v>
      </c>
      <c r="H47" s="127">
        <f t="shared" si="22"/>
        <v>4491.3132007166441</v>
      </c>
      <c r="I47" s="10">
        <f>+SUM(C47:H47)</f>
        <v>38355.238924955498</v>
      </c>
    </row>
    <row r="48" spans="1:10" x14ac:dyDescent="0.25">
      <c r="A48" s="314"/>
      <c r="B48" s="315"/>
      <c r="C48" s="127">
        <f t="shared" ref="C48:H48" si="23">+C47/(C5/1000)</f>
        <v>222.08731797224402</v>
      </c>
      <c r="D48" s="127">
        <f t="shared" si="23"/>
        <v>212.38140038305784</v>
      </c>
      <c r="E48" s="127">
        <f t="shared" si="23"/>
        <v>222.3918248196299</v>
      </c>
      <c r="F48" s="127">
        <f t="shared" si="23"/>
        <v>217.54725604766804</v>
      </c>
      <c r="G48" s="127">
        <f t="shared" si="23"/>
        <v>227.10537600054303</v>
      </c>
      <c r="H48" s="127">
        <f t="shared" si="23"/>
        <v>224.5656600358322</v>
      </c>
      <c r="I48" s="10"/>
    </row>
    <row r="49" spans="1:8" x14ac:dyDescent="0.25">
      <c r="A49" s="314"/>
      <c r="B49" s="316"/>
      <c r="C49" s="127">
        <f>+Eficiencia!C226/Eficiencia!C4</f>
        <v>20.135364022200456</v>
      </c>
      <c r="D49" s="127">
        <f>+Eficiencia!D226/Eficiencia!D4</f>
        <v>26.178778855480118</v>
      </c>
      <c r="E49" s="127">
        <f>+Eficiencia!E226/Eficiencia!E4</f>
        <v>15.433188006756756</v>
      </c>
      <c r="F49" s="127">
        <f>+Eficiencia!F226/Eficiencia!F4</f>
        <v>28.40107654051431</v>
      </c>
      <c r="G49" s="127">
        <f>+Eficiencia!G226/Eficiencia!G4</f>
        <v>24.168319796631707</v>
      </c>
      <c r="H49" s="127">
        <f>+Eficiencia!H226/Eficiencia!H4</f>
        <v>18.2</v>
      </c>
    </row>
    <row r="50" spans="1:8" x14ac:dyDescent="0.25">
      <c r="A50" s="314"/>
      <c r="B50" s="316"/>
      <c r="C50" s="127">
        <f>+C48/C49</f>
        <v>11.029714572201392</v>
      </c>
      <c r="D50" s="127">
        <f t="shared" ref="D50:H50" si="24">+D48/D49</f>
        <v>8.1127313674754973</v>
      </c>
      <c r="E50" s="127">
        <f t="shared" si="24"/>
        <v>14.409973151513817</v>
      </c>
      <c r="F50" s="127">
        <f t="shared" si="24"/>
        <v>7.6598242935381533</v>
      </c>
      <c r="G50" s="127">
        <f t="shared" si="24"/>
        <v>9.3968210414111741</v>
      </c>
      <c r="H50" s="127">
        <f t="shared" si="24"/>
        <v>12.33877252944133</v>
      </c>
    </row>
    <row r="51" spans="1:8" ht="14.4" x14ac:dyDescent="0.25">
      <c r="A51" s="330" t="str">
        <f>Eficiencia!A184</f>
        <v>Q ACP</v>
      </c>
      <c r="B51" s="315" t="s">
        <v>647</v>
      </c>
      <c r="C51" s="127">
        <f>Eficiencia!C184</f>
        <v>810.30362809999997</v>
      </c>
      <c r="D51" s="127">
        <f>Eficiencia!D184</f>
        <v>1111.2726636</v>
      </c>
      <c r="E51" s="127">
        <f>Eficiencia!E184</f>
        <v>805.72834215</v>
      </c>
      <c r="F51" s="127">
        <f>Eficiencia!F184</f>
        <v>602.99459999999999</v>
      </c>
      <c r="G51" s="127">
        <f>Eficiencia!G184</f>
        <v>661.8793419000001</v>
      </c>
      <c r="H51" s="127">
        <f>Eficiencia!H184</f>
        <v>538.44969724999999</v>
      </c>
    </row>
    <row r="52" spans="1:8" ht="14.4" x14ac:dyDescent="0.25">
      <c r="A52" s="330" t="str">
        <f>Eficiencia!A185</f>
        <v>Q Palmiste</v>
      </c>
      <c r="B52" s="315" t="s">
        <v>647</v>
      </c>
      <c r="C52" s="127">
        <f>Eficiencia!C185</f>
        <v>262.50962520404835</v>
      </c>
      <c r="D52" s="127">
        <f>Eficiencia!D185</f>
        <v>350.38553313934693</v>
      </c>
      <c r="E52" s="127">
        <f>Eficiencia!E185</f>
        <v>234.96729645270273</v>
      </c>
      <c r="F52" s="127">
        <f>Eficiencia!F185</f>
        <v>178.05373968947112</v>
      </c>
      <c r="G52" s="127">
        <f>Eficiencia!G185</f>
        <v>156.31527301133355</v>
      </c>
      <c r="H52" s="127">
        <f>Eficiencia!H185</f>
        <v>197.85690617987228</v>
      </c>
    </row>
    <row r="53" spans="1:8" ht="14.4" x14ac:dyDescent="0.25">
      <c r="A53" s="330" t="str">
        <f>Eficiencia!A186</f>
        <v>Q APL</v>
      </c>
      <c r="B53" s="315" t="s">
        <v>647</v>
      </c>
      <c r="C53" s="11">
        <f>Eficiencia!C186</f>
        <v>0</v>
      </c>
      <c r="D53" s="127">
        <f>Eficiencia!D186</f>
        <v>202.03332428063365</v>
      </c>
      <c r="E53" s="127">
        <f>Eficiencia!E186</f>
        <v>129.18130405405407</v>
      </c>
      <c r="F53" s="127">
        <f>Eficiencia!F186</f>
        <v>97.891130519165444</v>
      </c>
      <c r="G53" s="127">
        <f>Eficiencia!G186</f>
        <v>92.227933481622699</v>
      </c>
      <c r="H53" s="127">
        <f>Eficiencia!H186</f>
        <v>103.47232522009323</v>
      </c>
    </row>
    <row r="54" spans="1:8" ht="14.4" x14ac:dyDescent="0.25">
      <c r="A54" s="330" t="str">
        <f>Eficiencia!A187</f>
        <v>Q torta palmiste</v>
      </c>
      <c r="B54" s="315" t="s">
        <v>647</v>
      </c>
      <c r="C54" s="11">
        <f>Eficiencia!C187</f>
        <v>0</v>
      </c>
      <c r="D54" s="127">
        <f>Eficiencia!D187</f>
        <v>177.42519553831232</v>
      </c>
      <c r="E54" s="127">
        <f>Eficiencia!E187</f>
        <v>123.15546883445948</v>
      </c>
      <c r="F54" s="127">
        <f>Eficiencia!F187</f>
        <v>93.324867418728772</v>
      </c>
      <c r="G54" s="127">
        <f>Eficiencia!G187</f>
        <v>77.764916640186414</v>
      </c>
      <c r="H54" s="127">
        <f>Eficiencia!H187</f>
        <v>107.21988058864147</v>
      </c>
    </row>
    <row r="55" spans="1:8" x14ac:dyDescent="0.25">
      <c r="A55" s="314"/>
      <c r="B55" s="316"/>
      <c r="C55" s="11"/>
      <c r="D55" s="11"/>
      <c r="E55" s="11"/>
      <c r="F55" s="11"/>
      <c r="G55" s="11"/>
      <c r="H55" s="11"/>
    </row>
    <row r="56" spans="1:8" x14ac:dyDescent="0.25">
      <c r="A56" s="314" t="s">
        <v>676</v>
      </c>
      <c r="B56" s="316"/>
      <c r="C56" s="328">
        <f t="shared" ref="C56:H56" si="25">+(((C32-C33)*0.1)+C8)*4.18*303/3600</f>
        <v>5973.6033421176617</v>
      </c>
      <c r="D56" s="328">
        <f t="shared" si="25"/>
        <v>7962.7496020227654</v>
      </c>
      <c r="E56" s="328">
        <f t="shared" si="25"/>
        <v>9644.8035042738247</v>
      </c>
      <c r="F56" s="328">
        <f t="shared" si="25"/>
        <v>4208.9850849172844</v>
      </c>
      <c r="G56" s="328">
        <f t="shared" si="25"/>
        <v>6672.0570134776181</v>
      </c>
      <c r="H56" s="328">
        <f t="shared" si="25"/>
        <v>4161.860338392964</v>
      </c>
    </row>
    <row r="57" spans="1:8" x14ac:dyDescent="0.25">
      <c r="A57" s="314" t="s">
        <v>677</v>
      </c>
      <c r="B57" s="316"/>
      <c r="C57" s="328">
        <f t="shared" ref="C57:H57" si="26">+C5*2.02*303/3600</f>
        <v>5100.5</v>
      </c>
      <c r="D57" s="328">
        <f t="shared" si="26"/>
        <v>6800.666666666667</v>
      </c>
      <c r="E57" s="328">
        <f t="shared" si="26"/>
        <v>5100.5</v>
      </c>
      <c r="F57" s="328">
        <f t="shared" si="26"/>
        <v>4080.4</v>
      </c>
      <c r="G57" s="328">
        <f t="shared" si="26"/>
        <v>5100.5</v>
      </c>
      <c r="H57" s="328">
        <f t="shared" si="26"/>
        <v>3400.3333333333335</v>
      </c>
    </row>
    <row r="58" spans="1:8" x14ac:dyDescent="0.25">
      <c r="A58" s="314"/>
      <c r="B58" s="316"/>
      <c r="C58" s="11"/>
      <c r="D58" s="11"/>
      <c r="E58" s="11"/>
      <c r="F58" s="11"/>
      <c r="G58" s="11"/>
      <c r="H58" s="11"/>
    </row>
    <row r="59" spans="1:8" x14ac:dyDescent="0.25">
      <c r="A59" t="s">
        <v>478</v>
      </c>
      <c r="C59" s="329">
        <f>+(C51+C52+C53+C54+C47)/(C56+C57)</f>
        <v>0.69851549633382326</v>
      </c>
      <c r="D59" s="329">
        <f t="shared" ref="D59:H59" si="27">+(D51+D52+D53+D54+D47)/(D56+D57)</f>
        <v>0.70013420632202894</v>
      </c>
      <c r="E59" s="329">
        <f t="shared" si="27"/>
        <v>0.54015755957627964</v>
      </c>
      <c r="F59" s="329">
        <f t="shared" si="27"/>
        <v>0.74714812007472309</v>
      </c>
      <c r="G59" s="329">
        <f t="shared" si="27"/>
        <v>0.66267241144962719</v>
      </c>
      <c r="H59" s="329">
        <f t="shared" si="27"/>
        <v>0.71914476751476697</v>
      </c>
    </row>
    <row r="61" spans="1:8" x14ac:dyDescent="0.25">
      <c r="A61" s="314"/>
      <c r="B61" s="316"/>
      <c r="C61" s="10"/>
      <c r="D61" s="10"/>
      <c r="E61" s="10"/>
      <c r="F61" s="10"/>
      <c r="G61" s="10"/>
      <c r="H61" s="10"/>
    </row>
    <row r="62" spans="1:8" x14ac:dyDescent="0.25">
      <c r="A62" s="314"/>
      <c r="B62" s="316"/>
      <c r="C62" s="10"/>
      <c r="D62" s="10"/>
      <c r="E62" s="10"/>
      <c r="F62" s="10"/>
      <c r="G62" s="10"/>
      <c r="H62" s="10"/>
    </row>
    <row r="63" spans="1:8" x14ac:dyDescent="0.25">
      <c r="A63" s="314"/>
    </row>
    <row r="64" spans="1:8" x14ac:dyDescent="0.25">
      <c r="A64" s="314"/>
      <c r="B64" s="316"/>
      <c r="C64" s="10"/>
      <c r="D64" s="10"/>
      <c r="E64" s="10"/>
      <c r="F64" s="10"/>
      <c r="G64" s="10"/>
      <c r="H64" s="10"/>
    </row>
    <row r="65" spans="1:8" x14ac:dyDescent="0.25">
      <c r="A65" s="314"/>
      <c r="B65" s="316"/>
      <c r="C65" s="10"/>
      <c r="D65" s="10"/>
      <c r="E65" s="10"/>
      <c r="F65" s="10"/>
      <c r="G65" s="10"/>
      <c r="H65" s="10"/>
    </row>
    <row r="66" spans="1:8" x14ac:dyDescent="0.25">
      <c r="A66" s="314"/>
      <c r="B66" s="316"/>
      <c r="C66" s="317"/>
      <c r="D66" s="317"/>
      <c r="E66" s="317"/>
      <c r="F66" s="317"/>
      <c r="G66" s="317"/>
      <c r="H66" s="317"/>
    </row>
    <row r="67" spans="1:8" x14ac:dyDescent="0.25">
      <c r="A67" s="314"/>
      <c r="C67" s="10"/>
      <c r="D67" s="10"/>
      <c r="E67" s="10"/>
      <c r="F67" s="10"/>
      <c r="G67" s="10"/>
      <c r="H67" s="10"/>
    </row>
    <row r="68" spans="1:8" x14ac:dyDescent="0.25">
      <c r="A68" s="314"/>
    </row>
    <row r="69" spans="1:8" x14ac:dyDescent="0.25">
      <c r="A69" s="314"/>
    </row>
    <row r="70" spans="1:8" x14ac:dyDescent="0.25">
      <c r="A70" s="314"/>
      <c r="B70" s="316"/>
      <c r="C70" s="10"/>
      <c r="D70" s="10"/>
      <c r="E70" s="10"/>
      <c r="F70" s="10"/>
      <c r="G70" s="10"/>
      <c r="H70" s="10"/>
    </row>
    <row r="71" spans="1:8" x14ac:dyDescent="0.25">
      <c r="A71" s="314"/>
      <c r="B71" s="316"/>
      <c r="C71" s="10"/>
      <c r="D71" s="10"/>
      <c r="E71" s="10"/>
      <c r="F71" s="10"/>
      <c r="G71" s="10"/>
      <c r="H71" s="10"/>
    </row>
    <row r="72" spans="1:8" x14ac:dyDescent="0.25">
      <c r="A72" s="314"/>
      <c r="B72" s="316"/>
      <c r="C72" s="317"/>
      <c r="D72" s="317"/>
      <c r="E72" s="317"/>
      <c r="F72" s="317"/>
      <c r="G72" s="317"/>
      <c r="H72" s="317"/>
    </row>
    <row r="73" spans="1:8" x14ac:dyDescent="0.25">
      <c r="A73" s="314"/>
    </row>
    <row r="74" spans="1:8" x14ac:dyDescent="0.25">
      <c r="A74" s="314"/>
    </row>
    <row r="79" spans="1:8" ht="15.6" x14ac:dyDescent="0.3">
      <c r="C79" s="313"/>
      <c r="D79" s="313"/>
      <c r="E79" s="313"/>
      <c r="F79" s="313"/>
      <c r="G79" s="313"/>
      <c r="H79" s="313"/>
    </row>
    <row r="80" spans="1:8" x14ac:dyDescent="0.25">
      <c r="A80" s="314"/>
      <c r="C80" s="10"/>
      <c r="D80" s="10"/>
      <c r="E80" s="10"/>
      <c r="F80" s="10"/>
      <c r="G80" s="10"/>
      <c r="H80" s="10"/>
    </row>
    <row r="81" spans="1:8" x14ac:dyDescent="0.25">
      <c r="A81" s="314"/>
    </row>
    <row r="82" spans="1:8" x14ac:dyDescent="0.25">
      <c r="A82" s="314"/>
      <c r="C82" s="10"/>
      <c r="D82" s="10"/>
      <c r="E82" s="10"/>
      <c r="F82" s="10"/>
      <c r="G82" s="10"/>
      <c r="H82" s="10"/>
    </row>
    <row r="83" spans="1:8" x14ac:dyDescent="0.25">
      <c r="A83" s="314"/>
    </row>
  </sheetData>
  <mergeCells count="3">
    <mergeCell ref="A2:A3"/>
    <mergeCell ref="B2:B3"/>
    <mergeCell ref="C2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F292-5D42-481C-8608-803E1308DEB1}">
  <dimension ref="A2:N95"/>
  <sheetViews>
    <sheetView zoomScale="55" zoomScaleNormal="55" workbookViewId="0">
      <pane ySplit="3" topLeftCell="A4" activePane="bottomLeft" state="frozen"/>
      <selection pane="bottomLeft" activeCell="E74" sqref="E74"/>
    </sheetView>
  </sheetViews>
  <sheetFormatPr baseColWidth="10" defaultRowHeight="12" x14ac:dyDescent="0.25"/>
  <cols>
    <col min="1" max="1" width="47.5" bestFit="1" customWidth="1"/>
    <col min="2" max="2" width="13.625" bestFit="1" customWidth="1"/>
    <col min="3" max="8" width="21.125" customWidth="1"/>
    <col min="9" max="9" width="15.625" bestFit="1" customWidth="1"/>
  </cols>
  <sheetData>
    <row r="2" spans="1:9" ht="15.6" x14ac:dyDescent="0.3">
      <c r="A2" s="396" t="s">
        <v>292</v>
      </c>
      <c r="B2" s="396" t="s">
        <v>293</v>
      </c>
      <c r="C2" s="396" t="s">
        <v>294</v>
      </c>
      <c r="D2" s="396"/>
      <c r="E2" s="396"/>
      <c r="F2" s="396"/>
      <c r="G2" s="396"/>
      <c r="H2" s="396"/>
    </row>
    <row r="3" spans="1:9" ht="31.2" x14ac:dyDescent="0.3">
      <c r="A3" s="396"/>
      <c r="B3" s="396"/>
      <c r="C3" s="313" t="s">
        <v>295</v>
      </c>
      <c r="D3" s="313" t="s">
        <v>296</v>
      </c>
      <c r="E3" s="313" t="s">
        <v>297</v>
      </c>
      <c r="F3" s="313" t="s">
        <v>298</v>
      </c>
      <c r="G3" s="313" t="s">
        <v>299</v>
      </c>
      <c r="H3" s="313" t="s">
        <v>300</v>
      </c>
    </row>
    <row r="4" spans="1:9" ht="15.6" x14ac:dyDescent="0.3">
      <c r="A4" s="312" t="s">
        <v>645</v>
      </c>
      <c r="B4" s="312"/>
      <c r="C4" s="313"/>
      <c r="D4" s="313"/>
      <c r="E4" s="313"/>
      <c r="F4" s="313"/>
      <c r="G4" s="313"/>
      <c r="H4" s="313"/>
    </row>
    <row r="5" spans="1:9" x14ac:dyDescent="0.25">
      <c r="A5" s="314" t="s">
        <v>323</v>
      </c>
      <c r="B5" s="318" t="s">
        <v>416</v>
      </c>
      <c r="C5" s="319">
        <f>+Eficiencia!C13</f>
        <v>30000</v>
      </c>
      <c r="D5" s="319">
        <f>+Eficiencia!D13</f>
        <v>40000</v>
      </c>
      <c r="E5" s="319">
        <f>+Eficiencia!E13</f>
        <v>30000</v>
      </c>
      <c r="F5" s="319">
        <f>+Eficiencia!F13</f>
        <v>24000</v>
      </c>
      <c r="G5" s="319">
        <v>30000</v>
      </c>
      <c r="H5" s="319">
        <f>+Eficiencia!H13</f>
        <v>20000</v>
      </c>
      <c r="I5" s="10">
        <f>+MEDIAN(C5:H5)</f>
        <v>30000</v>
      </c>
    </row>
    <row r="6" spans="1:9" ht="14.4" x14ac:dyDescent="0.25">
      <c r="A6" s="314" t="s">
        <v>646</v>
      </c>
      <c r="B6" s="315" t="s">
        <v>647</v>
      </c>
      <c r="C6" s="320">
        <f>+Eficiencia!O23</f>
        <v>11627.405684754522</v>
      </c>
      <c r="D6" s="320">
        <f>+Eficiencia!Q23</f>
        <v>14954.073643410853</v>
      </c>
      <c r="E6" s="320">
        <f>+Eficiencia!S23</f>
        <v>12199.79877260982</v>
      </c>
      <c r="F6" s="320">
        <f>+Eficiencia!U23</f>
        <v>9180.352041343669</v>
      </c>
      <c r="G6" s="320">
        <f>+Eficiencia!W23</f>
        <v>10323.693669250646</v>
      </c>
      <c r="H6" s="320">
        <f>+Eficiencia!Y23</f>
        <v>7436.5471576227401</v>
      </c>
      <c r="I6" s="10">
        <f t="shared" ref="I6:I71" si="0">SUM(C6:H6)</f>
        <v>65721.870968992254</v>
      </c>
    </row>
    <row r="7" spans="1:9" ht="14.4" x14ac:dyDescent="0.25">
      <c r="A7" s="314" t="s">
        <v>303</v>
      </c>
      <c r="B7" s="315" t="s">
        <v>648</v>
      </c>
      <c r="C7" s="127">
        <f>+Datos_Base!S8</f>
        <v>485.04367262859836</v>
      </c>
      <c r="D7" s="127">
        <f>+Datos_Base!T8</f>
        <v>904.8045926919209</v>
      </c>
      <c r="E7" s="127">
        <f>+Datos_Base!U8</f>
        <v>412.6669963866305</v>
      </c>
      <c r="F7" s="127">
        <f>+Datos_Base!V8</f>
        <v>790</v>
      </c>
      <c r="G7" s="127">
        <f>+Datos_Base!W8</f>
        <v>419.39799331103677</v>
      </c>
      <c r="H7" s="127">
        <f>+Datos_Base!X8</f>
        <v>555.90490486257931</v>
      </c>
      <c r="I7" s="10">
        <f t="shared" si="0"/>
        <v>3567.818159880766</v>
      </c>
    </row>
    <row r="8" spans="1:9" ht="13.8" x14ac:dyDescent="0.25">
      <c r="A8" s="314" t="s">
        <v>674</v>
      </c>
      <c r="B8" s="315" t="s">
        <v>675</v>
      </c>
      <c r="C8" s="127">
        <f>+Eficiencia!C138</f>
        <v>13842</v>
      </c>
      <c r="D8" s="127">
        <f>+Eficiencia!D138</f>
        <v>19048</v>
      </c>
      <c r="E8" s="127">
        <f>+Eficiencia!E138</f>
        <v>24720</v>
      </c>
      <c r="F8" s="127">
        <f>+Eficiencia!F138</f>
        <v>9878.4000000000015</v>
      </c>
      <c r="G8" s="127">
        <f>+Eficiencia!G138</f>
        <v>16020</v>
      </c>
      <c r="H8" s="127">
        <f>+Eficiencia!H138</f>
        <v>9720</v>
      </c>
      <c r="I8" s="10">
        <f>+MEDIAN(C8:H8)</f>
        <v>14931</v>
      </c>
    </row>
    <row r="9" spans="1:9" x14ac:dyDescent="0.25">
      <c r="A9" s="314"/>
      <c r="B9" s="315"/>
      <c r="C9" s="127">
        <f>+C8/(C5/1000)</f>
        <v>461.4</v>
      </c>
      <c r="D9" s="127">
        <f t="shared" ref="D9:H9" si="1">+D8/(D5/1000)</f>
        <v>476.2</v>
      </c>
      <c r="E9" s="127">
        <f t="shared" si="1"/>
        <v>824</v>
      </c>
      <c r="F9" s="127">
        <f t="shared" si="1"/>
        <v>411.60000000000008</v>
      </c>
      <c r="G9" s="127">
        <f t="shared" si="1"/>
        <v>534</v>
      </c>
      <c r="H9" s="127">
        <f t="shared" si="1"/>
        <v>486</v>
      </c>
      <c r="I9" s="10">
        <f>+MEDIAN(C9:H9)</f>
        <v>481.1</v>
      </c>
    </row>
    <row r="10" spans="1:9" ht="14.4" x14ac:dyDescent="0.25">
      <c r="A10" s="314" t="s">
        <v>649</v>
      </c>
      <c r="B10" s="315" t="s">
        <v>648</v>
      </c>
      <c r="C10" s="321">
        <f>+Eficiencia!N7*Eficiencia!O1</f>
        <v>2.4</v>
      </c>
      <c r="D10" s="321">
        <f>+Eficiencia!P7*Eficiencia!Q1</f>
        <v>4.8</v>
      </c>
      <c r="E10" s="321">
        <f>+Eficiencia!R7*Eficiencia!S1</f>
        <v>12.299999999999999</v>
      </c>
      <c r="F10" s="321">
        <f>+Eficiencia!T7*Eficiencia!U1</f>
        <v>5.3868857131751806</v>
      </c>
      <c r="G10" s="321">
        <f>+Eficiencia!V7*Eficiencia!W1</f>
        <v>9</v>
      </c>
      <c r="H10" s="321">
        <f>+Eficiencia!X7*Eficiencia!Y1</f>
        <v>3.8592161293125926</v>
      </c>
      <c r="I10" s="10">
        <f t="shared" si="0"/>
        <v>37.746101842487775</v>
      </c>
    </row>
    <row r="11" spans="1:9" ht="14.4" x14ac:dyDescent="0.25">
      <c r="A11" s="314" t="s">
        <v>650</v>
      </c>
      <c r="B11" s="315" t="s">
        <v>647</v>
      </c>
      <c r="C11" s="127">
        <f>+Eficiencia!O7</f>
        <v>4866.7361111111113</v>
      </c>
      <c r="D11" s="127">
        <f>+Eficiencia!Q7</f>
        <v>6156.9444444444443</v>
      </c>
      <c r="E11" s="127">
        <f>+Eficiencia!S7</f>
        <v>4588.25</v>
      </c>
      <c r="F11" s="127">
        <f>+Eficiencia!U7</f>
        <v>3681.7533333333336</v>
      </c>
      <c r="G11" s="127">
        <f>+Eficiencia!W7</f>
        <v>4559.8499999999995</v>
      </c>
      <c r="H11" s="127">
        <f>+Eficiencia!Y7</f>
        <v>3101.3888888888887</v>
      </c>
      <c r="I11" s="10">
        <f t="shared" si="0"/>
        <v>26954.922777777778</v>
      </c>
    </row>
    <row r="12" spans="1:9" ht="14.4" x14ac:dyDescent="0.25">
      <c r="A12" s="314" t="s">
        <v>649</v>
      </c>
      <c r="B12" s="315" t="s">
        <v>648</v>
      </c>
      <c r="C12" s="127">
        <f>2*C5/1000</f>
        <v>60</v>
      </c>
      <c r="D12" s="127">
        <f t="shared" ref="D12:H12" si="2">2*D5/1000</f>
        <v>80</v>
      </c>
      <c r="E12" s="127">
        <f t="shared" si="2"/>
        <v>60</v>
      </c>
      <c r="F12" s="127">
        <f t="shared" si="2"/>
        <v>48</v>
      </c>
      <c r="G12" s="127">
        <f t="shared" si="2"/>
        <v>60</v>
      </c>
      <c r="H12" s="127">
        <f t="shared" si="2"/>
        <v>40</v>
      </c>
      <c r="I12" s="10">
        <f t="shared" si="0"/>
        <v>348</v>
      </c>
    </row>
    <row r="13" spans="1:9" ht="14.4" x14ac:dyDescent="0.25">
      <c r="A13" s="314" t="s">
        <v>650</v>
      </c>
      <c r="B13" s="315" t="s">
        <v>647</v>
      </c>
      <c r="C13" s="127">
        <f>315*C5/1000*2750/3600</f>
        <v>7218.75</v>
      </c>
      <c r="D13" s="127">
        <f t="shared" ref="D13:H13" si="3">315*D5/1000*2750/3600</f>
        <v>9625</v>
      </c>
      <c r="E13" s="127">
        <f t="shared" si="3"/>
        <v>7218.75</v>
      </c>
      <c r="F13" s="127">
        <f t="shared" si="3"/>
        <v>5775</v>
      </c>
      <c r="G13" s="127">
        <f t="shared" si="3"/>
        <v>7218.75</v>
      </c>
      <c r="H13" s="127">
        <f t="shared" si="3"/>
        <v>4812.5</v>
      </c>
      <c r="I13" s="10">
        <f t="shared" si="0"/>
        <v>41868.75</v>
      </c>
    </row>
    <row r="14" spans="1:9" x14ac:dyDescent="0.25">
      <c r="A14" s="314"/>
      <c r="B14" s="315"/>
      <c r="C14" s="127"/>
      <c r="D14" s="127"/>
      <c r="E14" s="127"/>
      <c r="F14" s="127"/>
      <c r="G14" s="127"/>
      <c r="H14" s="127"/>
      <c r="I14" s="10">
        <f t="shared" si="0"/>
        <v>0</v>
      </c>
    </row>
    <row r="15" spans="1:9" ht="14.4" x14ac:dyDescent="0.25">
      <c r="A15" s="314" t="s">
        <v>651</v>
      </c>
      <c r="B15" s="315" t="s">
        <v>647</v>
      </c>
      <c r="C15" s="127">
        <f>+C6-C11+C13+C37</f>
        <v>15732.057073643411</v>
      </c>
      <c r="D15" s="127">
        <f t="shared" ref="D15:H15" si="4">+D6-D11+D13+D37</f>
        <v>20585.87919896641</v>
      </c>
      <c r="E15" s="127">
        <f t="shared" si="4"/>
        <v>16481.96127260982</v>
      </c>
      <c r="F15" s="127">
        <f t="shared" si="4"/>
        <v>12346.818708010334</v>
      </c>
      <c r="G15" s="127">
        <f t="shared" si="4"/>
        <v>14738.116169250647</v>
      </c>
      <c r="H15" s="127">
        <f t="shared" si="4"/>
        <v>10174.237435400519</v>
      </c>
      <c r="I15" s="10">
        <f>+MEDIAN(C15:H15)</f>
        <v>15235.08662144703</v>
      </c>
    </row>
    <row r="16" spans="1:9" ht="14.4" x14ac:dyDescent="0.25">
      <c r="A16" s="314" t="s">
        <v>652</v>
      </c>
      <c r="B16" s="315" t="s">
        <v>648</v>
      </c>
      <c r="C16" s="127">
        <f t="shared" ref="C16:H16" si="5">+C7-C10+C12</f>
        <v>542.64367262859832</v>
      </c>
      <c r="D16" s="127">
        <f t="shared" si="5"/>
        <v>980.00459269192095</v>
      </c>
      <c r="E16" s="127">
        <f t="shared" si="5"/>
        <v>460.36699638663049</v>
      </c>
      <c r="F16" s="127">
        <f t="shared" si="5"/>
        <v>832.61311428682484</v>
      </c>
      <c r="G16" s="127">
        <f t="shared" si="5"/>
        <v>470.39799331103677</v>
      </c>
      <c r="H16" s="127">
        <f t="shared" si="5"/>
        <v>592.04568873326673</v>
      </c>
      <c r="I16" s="10">
        <f t="shared" si="0"/>
        <v>3878.0720580382781</v>
      </c>
    </row>
    <row r="17" spans="1:12" x14ac:dyDescent="0.25">
      <c r="A17" s="314"/>
      <c r="B17" s="315"/>
      <c r="C17" s="127"/>
      <c r="D17" s="127"/>
      <c r="E17" s="127"/>
      <c r="F17" s="127"/>
      <c r="G17" s="127"/>
      <c r="H17" s="127"/>
      <c r="I17" s="10">
        <f t="shared" si="0"/>
        <v>0</v>
      </c>
    </row>
    <row r="18" spans="1:12" x14ac:dyDescent="0.25">
      <c r="A18" s="315" t="s">
        <v>308</v>
      </c>
      <c r="B18" s="315"/>
      <c r="C18" s="315"/>
      <c r="D18" s="315"/>
      <c r="E18" s="315"/>
      <c r="F18" s="315"/>
      <c r="G18" s="315"/>
      <c r="H18" s="315"/>
      <c r="I18" s="10">
        <f t="shared" si="0"/>
        <v>0</v>
      </c>
    </row>
    <row r="19" spans="1:12" ht="13.8" x14ac:dyDescent="0.25">
      <c r="A19" s="314" t="s">
        <v>309</v>
      </c>
      <c r="B19" s="316" t="s">
        <v>653</v>
      </c>
      <c r="C19" s="322">
        <f>+Eficiencia!C127</f>
        <v>1800</v>
      </c>
      <c r="D19" s="322">
        <f>+Eficiencia!D127</f>
        <v>1648.1086323957325</v>
      </c>
      <c r="E19" s="322">
        <f>+Eficiencia!E127</f>
        <v>1350</v>
      </c>
      <c r="F19" s="322">
        <f>+Eficiencia!F127</f>
        <v>1368.0858806404658</v>
      </c>
      <c r="G19" s="322">
        <f>+Eficiencia!G127</f>
        <v>1094.375595805529</v>
      </c>
      <c r="H19" s="322">
        <f>+Eficiencia!H127</f>
        <v>1399.7928534438115</v>
      </c>
      <c r="I19" s="10">
        <f t="shared" si="0"/>
        <v>8660.3629622855387</v>
      </c>
    </row>
    <row r="20" spans="1:12" ht="13.8" x14ac:dyDescent="0.25">
      <c r="A20" s="314" t="s">
        <v>311</v>
      </c>
      <c r="B20" s="316" t="s">
        <v>653</v>
      </c>
      <c r="C20" s="323">
        <f>+Eficiencia!C52</f>
        <v>3690</v>
      </c>
      <c r="D20" s="323">
        <f>+Eficiencia!D52</f>
        <v>5000</v>
      </c>
      <c r="E20" s="323">
        <f>+Eficiencia!E52</f>
        <v>3810</v>
      </c>
      <c r="F20" s="323">
        <f>+Eficiencia!F52</f>
        <v>2976</v>
      </c>
      <c r="G20" s="323">
        <f>+Eficiencia!G52</f>
        <v>3930</v>
      </c>
      <c r="H20" s="323">
        <f>+Eficiencia!H52</f>
        <v>2540</v>
      </c>
      <c r="I20" s="10">
        <f t="shared" si="0"/>
        <v>21946</v>
      </c>
      <c r="L20">
        <f>8391/30</f>
        <v>279.7</v>
      </c>
    </row>
    <row r="21" spans="1:12" x14ac:dyDescent="0.25">
      <c r="A21" s="314"/>
      <c r="B21" s="316"/>
      <c r="C21" s="127"/>
      <c r="D21" s="127"/>
      <c r="E21" s="127"/>
      <c r="F21" s="127"/>
      <c r="G21" s="127"/>
      <c r="H21" s="127"/>
      <c r="I21" s="10">
        <f t="shared" si="0"/>
        <v>0</v>
      </c>
    </row>
    <row r="22" spans="1:12" ht="14.4" x14ac:dyDescent="0.25">
      <c r="A22" s="314" t="s">
        <v>656</v>
      </c>
      <c r="B22" s="315" t="s">
        <v>647</v>
      </c>
      <c r="C22" s="127">
        <f>+C19*Biomass!$G$15/3600</f>
        <v>8120.3015160125015</v>
      </c>
      <c r="D22" s="127">
        <f>+D19*Biomass!$G$15/3600</f>
        <v>7435.0772367757536</v>
      </c>
      <c r="E22" s="127">
        <f>+E19*Biomass!$G$15/3600</f>
        <v>6090.2261370093756</v>
      </c>
      <c r="F22" s="127">
        <f>+F19*Biomass!$G$15/3600</f>
        <v>6171.8165836667076</v>
      </c>
      <c r="G22" s="127">
        <f>+G19*Biomass!$G$15/3600</f>
        <v>4937.0332276148456</v>
      </c>
      <c r="H22" s="127">
        <f>+H19*Biomass!$G$15/3600</f>
        <v>6314.8555721795819</v>
      </c>
      <c r="I22" s="10">
        <f t="shared" si="0"/>
        <v>39069.310273258772</v>
      </c>
    </row>
    <row r="23" spans="1:12" ht="14.4" x14ac:dyDescent="0.25">
      <c r="A23" s="314" t="s">
        <v>658</v>
      </c>
      <c r="B23" s="315" t="s">
        <v>647</v>
      </c>
      <c r="C23" s="127">
        <f>+C20*Biomass!$E$15/3600</f>
        <v>12809.004456967878</v>
      </c>
      <c r="D23" s="127">
        <f>+D20*Biomass!$E$15/3600</f>
        <v>17356.374602937503</v>
      </c>
      <c r="E23" s="127">
        <f>+E20*Biomass!$E$15/3600</f>
        <v>13225.557447438377</v>
      </c>
      <c r="F23" s="127">
        <f>+F20*Biomass!$E$15/3600</f>
        <v>10330.514163668402</v>
      </c>
      <c r="G23" s="127">
        <f>+G20*Biomass!$E$15/3600</f>
        <v>13642.110437908876</v>
      </c>
      <c r="H23" s="127">
        <f>+H20*Biomass!$E$15/3600</f>
        <v>8817.0382982922511</v>
      </c>
      <c r="I23" s="10">
        <f t="shared" si="0"/>
        <v>76180.599407213289</v>
      </c>
    </row>
    <row r="24" spans="1:12" x14ac:dyDescent="0.25">
      <c r="C24" s="10">
        <f>+C22+C23</f>
        <v>20929.305972980379</v>
      </c>
      <c r="D24" s="10">
        <f t="shared" ref="D24:H24" si="6">+D22+D23</f>
        <v>24791.451839713256</v>
      </c>
      <c r="E24" s="10">
        <f t="shared" si="6"/>
        <v>19315.783584447752</v>
      </c>
      <c r="F24" s="10">
        <f t="shared" si="6"/>
        <v>16502.330747335109</v>
      </c>
      <c r="G24" s="10">
        <f t="shared" si="6"/>
        <v>18579.143665523719</v>
      </c>
      <c r="H24" s="10">
        <f t="shared" si="6"/>
        <v>15131.893870471833</v>
      </c>
      <c r="I24" s="10">
        <f t="shared" ref="I24:I25" si="7">+MEDIAN(C24:H24)</f>
        <v>18947.463624985736</v>
      </c>
      <c r="J24" s="10">
        <f>+I24/30</f>
        <v>631.58212083285787</v>
      </c>
    </row>
    <row r="25" spans="1:12" x14ac:dyDescent="0.25">
      <c r="A25" s="314"/>
      <c r="B25" s="316"/>
      <c r="C25" s="127">
        <f>+C24-C26</f>
        <v>3139.3958959470583</v>
      </c>
      <c r="D25" s="127"/>
      <c r="E25" s="127"/>
      <c r="F25" s="127"/>
      <c r="G25" s="127"/>
      <c r="H25" s="127"/>
      <c r="I25" s="10">
        <f t="shared" si="7"/>
        <v>3139.3958959470583</v>
      </c>
    </row>
    <row r="26" spans="1:12" ht="14.4" x14ac:dyDescent="0.25">
      <c r="A26" s="314" t="s">
        <v>659</v>
      </c>
      <c r="B26" s="315" t="s">
        <v>647</v>
      </c>
      <c r="C26" s="127">
        <f>+(C22+C23)*0.85</f>
        <v>17789.910077033321</v>
      </c>
      <c r="D26" s="127">
        <f t="shared" ref="D26:H26" si="8">+(D22+D23)*0.85</f>
        <v>21072.734063756267</v>
      </c>
      <c r="E26" s="127">
        <f t="shared" si="8"/>
        <v>16418.416046780589</v>
      </c>
      <c r="F26" s="127">
        <f t="shared" si="8"/>
        <v>14026.981135234842</v>
      </c>
      <c r="G26" s="127">
        <f t="shared" si="8"/>
        <v>15792.272115695161</v>
      </c>
      <c r="H26" s="127">
        <f t="shared" si="8"/>
        <v>12862.109789901058</v>
      </c>
      <c r="I26" s="10">
        <f>+MEDIAN(C26:H26)</f>
        <v>16105.344081237876</v>
      </c>
      <c r="J26" s="127">
        <f>+I26/30</f>
        <v>536.84480270792915</v>
      </c>
    </row>
    <row r="27" spans="1:12" ht="13.8" x14ac:dyDescent="0.25">
      <c r="A27" s="314" t="s">
        <v>660</v>
      </c>
      <c r="B27" s="316" t="s">
        <v>653</v>
      </c>
      <c r="C27" s="127">
        <f>+C26*3600/(2990-604)</f>
        <v>26841.440183285813</v>
      </c>
      <c r="D27" s="127">
        <f t="shared" ref="D27:H27" si="9">+D26*3600/(2894.4-604)</f>
        <v>33121.656754070274</v>
      </c>
      <c r="E27" s="127">
        <f t="shared" si="9"/>
        <v>25806.102763015242</v>
      </c>
      <c r="F27" s="127">
        <f t="shared" si="9"/>
        <v>22047.298326425705</v>
      </c>
      <c r="G27" s="127">
        <f t="shared" si="9"/>
        <v>24821.9435978443</v>
      </c>
      <c r="H27" s="127">
        <f t="shared" si="9"/>
        <v>20216.379341444208</v>
      </c>
      <c r="I27" s="10">
        <f>+MEDIAN(C27:H27)</f>
        <v>25314.023180429773</v>
      </c>
      <c r="K27">
        <f>+I27/30</f>
        <v>843.8007726809924</v>
      </c>
    </row>
    <row r="28" spans="1:12" ht="13.8" x14ac:dyDescent="0.25">
      <c r="A28" s="314" t="s">
        <v>679</v>
      </c>
      <c r="B28" s="316" t="s">
        <v>653</v>
      </c>
      <c r="C28" s="127">
        <f>+C15*3600/2885</f>
        <v>19630.989762605295</v>
      </c>
      <c r="D28" s="127">
        <f t="shared" ref="D28:H28" si="10">+D15*3600/2885</f>
        <v>25687.752206682522</v>
      </c>
      <c r="E28" s="127">
        <f t="shared" si="10"/>
        <v>20566.745435492321</v>
      </c>
      <c r="F28" s="127">
        <f t="shared" si="10"/>
        <v>15406.775510862115</v>
      </c>
      <c r="G28" s="127">
        <f t="shared" si="10"/>
        <v>18390.716883640322</v>
      </c>
      <c r="H28" s="127">
        <f t="shared" si="10"/>
        <v>12695.755551972918</v>
      </c>
      <c r="I28" s="10">
        <f>+MEDIAN(C28:H28)</f>
        <v>19010.853323122807</v>
      </c>
      <c r="L28">
        <f>16200/30</f>
        <v>540</v>
      </c>
    </row>
    <row r="29" spans="1:12" x14ac:dyDescent="0.25">
      <c r="A29" s="314"/>
      <c r="B29" s="316"/>
      <c r="C29" s="127">
        <f>+C27-C28</f>
        <v>7210.4504206805177</v>
      </c>
      <c r="D29" s="127">
        <f t="shared" ref="D29:H29" si="11">+D27-D28</f>
        <v>7433.9045473877522</v>
      </c>
      <c r="E29" s="127">
        <f t="shared" si="11"/>
        <v>5239.357327522921</v>
      </c>
      <c r="F29" s="127">
        <f t="shared" si="11"/>
        <v>6640.5228155635905</v>
      </c>
      <c r="G29" s="127">
        <f t="shared" si="11"/>
        <v>6431.2267142039782</v>
      </c>
      <c r="H29" s="127">
        <f t="shared" si="11"/>
        <v>7520.6237894712904</v>
      </c>
      <c r="I29" s="10">
        <f>+MEDIAN(C29:H29)</f>
        <v>6925.4866181220541</v>
      </c>
    </row>
    <row r="30" spans="1:12" ht="14.4" x14ac:dyDescent="0.25">
      <c r="A30" s="314" t="s">
        <v>662</v>
      </c>
      <c r="B30" s="315" t="s">
        <v>648</v>
      </c>
      <c r="C30" s="127">
        <f>(((C27)*(2990-2778))*0.95*0.92)/3600</f>
        <v>1381.4991024112949</v>
      </c>
      <c r="D30" s="127">
        <f t="shared" ref="D30:H30" si="12">(((D27)*(2990-2778))*0.95*0.92)/3600</f>
        <v>1704.7348712911592</v>
      </c>
      <c r="E30" s="127">
        <f t="shared" si="12"/>
        <v>1328.21143576488</v>
      </c>
      <c r="F30" s="127">
        <f t="shared" si="12"/>
        <v>1134.7499478629907</v>
      </c>
      <c r="G30" s="127">
        <f t="shared" si="12"/>
        <v>1277.5578570437151</v>
      </c>
      <c r="H30" s="127">
        <f t="shared" si="12"/>
        <v>1040.5145820604205</v>
      </c>
      <c r="I30" s="10">
        <f t="shared" si="0"/>
        <v>7867.2677964344593</v>
      </c>
      <c r="J30" s="10">
        <f>+I30+I48</f>
        <v>35202.955514021654</v>
      </c>
    </row>
    <row r="31" spans="1:12" ht="14.4" x14ac:dyDescent="0.25">
      <c r="A31" s="314" t="s">
        <v>663</v>
      </c>
      <c r="B31" s="315" t="s">
        <v>648</v>
      </c>
      <c r="C31" s="127">
        <f>+C30-C16-(0.08*C30)</f>
        <v>728.33550158979301</v>
      </c>
      <c r="D31" s="127">
        <f t="shared" ref="D31:H31" si="13">+D30-D16-(0.08*D30)</f>
        <v>588.35148889594552</v>
      </c>
      <c r="E31" s="127">
        <f t="shared" si="13"/>
        <v>761.58752451705914</v>
      </c>
      <c r="F31" s="127">
        <f t="shared" si="13"/>
        <v>211.35683774712658</v>
      </c>
      <c r="G31" s="127">
        <f t="shared" si="13"/>
        <v>704.95523516918115</v>
      </c>
      <c r="H31" s="127">
        <f t="shared" si="13"/>
        <v>365.22772676232012</v>
      </c>
      <c r="I31" s="10">
        <f t="shared" si="0"/>
        <v>3359.8143146814255</v>
      </c>
      <c r="J31" s="374">
        <f>+I48/J30</f>
        <v>0.77651683838588903</v>
      </c>
    </row>
    <row r="32" spans="1:12" x14ac:dyDescent="0.25">
      <c r="A32" s="314"/>
      <c r="B32" s="315"/>
      <c r="C32" s="127">
        <f>+C30-C31-C36</f>
        <v>645.8736008215019</v>
      </c>
      <c r="D32" s="127">
        <f t="shared" ref="D32:H32" si="14">+D30-D31-D36</f>
        <v>1107.3833823952136</v>
      </c>
      <c r="E32" s="127">
        <f t="shared" si="14"/>
        <v>559.75391124782084</v>
      </c>
      <c r="F32" s="127">
        <f t="shared" si="14"/>
        <v>918.92911011586409</v>
      </c>
      <c r="G32" s="127">
        <f t="shared" si="14"/>
        <v>565.30062187453393</v>
      </c>
      <c r="H32" s="127">
        <f t="shared" si="14"/>
        <v>671.01685529810038</v>
      </c>
      <c r="I32" s="10">
        <f t="shared" si="0"/>
        <v>4468.2574817530349</v>
      </c>
    </row>
    <row r="33" spans="1:14" x14ac:dyDescent="0.25">
      <c r="A33" s="314" t="s">
        <v>678</v>
      </c>
      <c r="B33" s="315"/>
      <c r="C33" s="127"/>
      <c r="D33" s="127"/>
      <c r="E33" s="127"/>
      <c r="F33" s="127"/>
      <c r="G33" s="127"/>
      <c r="H33" s="127"/>
      <c r="I33" s="10">
        <f t="shared" si="0"/>
        <v>0</v>
      </c>
    </row>
    <row r="34" spans="1:14" ht="13.8" x14ac:dyDescent="0.25">
      <c r="A34" s="314" t="s">
        <v>312</v>
      </c>
      <c r="B34" s="316" t="s">
        <v>653</v>
      </c>
      <c r="C34" s="323">
        <f>+Eficiencia!C36</f>
        <v>7290</v>
      </c>
      <c r="D34" s="323">
        <f>+Eficiencia!D36</f>
        <v>9000</v>
      </c>
      <c r="E34" s="323">
        <f>+Eficiencia!E36</f>
        <v>6870</v>
      </c>
      <c r="F34" s="323">
        <f>+Eficiencia!F36</f>
        <v>4464</v>
      </c>
      <c r="G34" s="323">
        <f>+Eficiencia!G36</f>
        <v>7302</v>
      </c>
      <c r="H34" s="323">
        <f>+Eficiencia!H36</f>
        <v>4270</v>
      </c>
      <c r="I34" s="10">
        <f t="shared" si="0"/>
        <v>39196</v>
      </c>
      <c r="K34" t="s">
        <v>14</v>
      </c>
    </row>
    <row r="35" spans="1:14" x14ac:dyDescent="0.25">
      <c r="A35" s="314"/>
      <c r="B35" s="315"/>
      <c r="C35" s="127">
        <f>+C34/C5*1000</f>
        <v>243</v>
      </c>
      <c r="D35" s="127">
        <f t="shared" ref="D35:H35" si="15">+D34/D5*1000</f>
        <v>225</v>
      </c>
      <c r="E35" s="127">
        <f t="shared" si="15"/>
        <v>229</v>
      </c>
      <c r="F35" s="127">
        <f t="shared" si="15"/>
        <v>186</v>
      </c>
      <c r="G35" s="127">
        <f t="shared" si="15"/>
        <v>243.4</v>
      </c>
      <c r="H35" s="127">
        <f t="shared" si="15"/>
        <v>213.5</v>
      </c>
      <c r="I35" s="331">
        <f>+MEDIAN(C35:H35)</f>
        <v>227</v>
      </c>
    </row>
    <row r="36" spans="1:14" ht="14.4" x14ac:dyDescent="0.25">
      <c r="A36" s="314" t="s">
        <v>655</v>
      </c>
      <c r="B36" s="315" t="s">
        <v>648</v>
      </c>
      <c r="C36" s="127">
        <f>1*C34/1000</f>
        <v>7.29</v>
      </c>
      <c r="D36" s="127">
        <f t="shared" ref="D36:H36" si="16">1*D34/1000</f>
        <v>9</v>
      </c>
      <c r="E36" s="127">
        <f t="shared" si="16"/>
        <v>6.87</v>
      </c>
      <c r="F36" s="127">
        <f t="shared" si="16"/>
        <v>4.4640000000000004</v>
      </c>
      <c r="G36" s="127">
        <f t="shared" si="16"/>
        <v>7.3019999999999996</v>
      </c>
      <c r="H36" s="127">
        <f t="shared" si="16"/>
        <v>4.2699999999999996</v>
      </c>
      <c r="I36" s="10">
        <f>+MEDIAN(C36:H36)</f>
        <v>7.08</v>
      </c>
      <c r="J36" s="324">
        <f>+I36/30</f>
        <v>0.23600000000000002</v>
      </c>
    </row>
    <row r="37" spans="1:14" ht="14.4" x14ac:dyDescent="0.25">
      <c r="A37" s="314" t="s">
        <v>654</v>
      </c>
      <c r="B37" s="315" t="s">
        <v>647</v>
      </c>
      <c r="C37" s="127">
        <f>300*C34/1000*2885/3600</f>
        <v>1752.6375</v>
      </c>
      <c r="D37" s="127">
        <f t="shared" ref="D37:H37" si="17">300*D34/1000*2885/3600</f>
        <v>2163.75</v>
      </c>
      <c r="E37" s="127">
        <f t="shared" si="17"/>
        <v>1651.6624999999999</v>
      </c>
      <c r="F37" s="127">
        <f t="shared" si="17"/>
        <v>1073.22</v>
      </c>
      <c r="G37" s="127">
        <f t="shared" si="17"/>
        <v>1755.5225</v>
      </c>
      <c r="H37" s="127">
        <f t="shared" si="17"/>
        <v>1026.5791666666667</v>
      </c>
      <c r="I37" s="10">
        <f>+MEDIAN(C37:H37)</f>
        <v>1702.15</v>
      </c>
      <c r="J37" s="324">
        <f>+I37/30</f>
        <v>56.738333333333337</v>
      </c>
    </row>
    <row r="38" spans="1:14" x14ac:dyDescent="0.25">
      <c r="A38" s="314"/>
      <c r="B38" s="315"/>
      <c r="C38" s="127">
        <f>300*C34/1000</f>
        <v>2187</v>
      </c>
      <c r="D38" s="127">
        <f t="shared" ref="D38:H38" si="18">300*D34/1000</f>
        <v>2700</v>
      </c>
      <c r="E38" s="127">
        <f t="shared" si="18"/>
        <v>2061</v>
      </c>
      <c r="F38" s="127">
        <f t="shared" si="18"/>
        <v>1339.2</v>
      </c>
      <c r="G38" s="127">
        <f t="shared" si="18"/>
        <v>2190.6</v>
      </c>
      <c r="H38" s="127">
        <f t="shared" si="18"/>
        <v>1281</v>
      </c>
      <c r="I38" s="10">
        <f t="shared" si="0"/>
        <v>11758.800000000001</v>
      </c>
    </row>
    <row r="39" spans="1:14" x14ac:dyDescent="0.25">
      <c r="A39" s="314" t="s">
        <v>691</v>
      </c>
      <c r="B39" s="315"/>
      <c r="C39" s="127">
        <f>+C27+C8-C28-C38</f>
        <v>18865.450420680518</v>
      </c>
      <c r="D39" s="127">
        <f t="shared" ref="D39:H39" si="19">+D27+D8-D28-D38</f>
        <v>23781.904547387752</v>
      </c>
      <c r="E39" s="127">
        <f t="shared" si="19"/>
        <v>27898.357327522917</v>
      </c>
      <c r="F39" s="127">
        <f t="shared" si="19"/>
        <v>15179.722815563593</v>
      </c>
      <c r="G39" s="127">
        <f t="shared" si="19"/>
        <v>20260.62671420398</v>
      </c>
      <c r="H39" s="127">
        <f t="shared" si="19"/>
        <v>15959.62378947129</v>
      </c>
      <c r="I39" s="10">
        <f t="shared" si="0"/>
        <v>121945.68561483006</v>
      </c>
    </row>
    <row r="40" spans="1:14" x14ac:dyDescent="0.25">
      <c r="A40" s="314"/>
      <c r="B40" s="315"/>
      <c r="C40" s="375">
        <f>+C39/C5</f>
        <v>0.62884834735601725</v>
      </c>
      <c r="D40" s="127"/>
      <c r="E40" s="127"/>
      <c r="F40" s="127"/>
      <c r="G40" s="127"/>
      <c r="H40" s="127"/>
      <c r="I40" s="10"/>
    </row>
    <row r="41" spans="1:14" ht="13.8" x14ac:dyDescent="0.25">
      <c r="A41" s="314" t="s">
        <v>680</v>
      </c>
      <c r="B41" s="316" t="s">
        <v>667</v>
      </c>
      <c r="C41" s="127">
        <f t="shared" ref="C41:H41" si="20">+C34*0.4*0.8*273.51/1000</f>
        <v>638.044128</v>
      </c>
      <c r="D41" s="127">
        <f t="shared" si="20"/>
        <v>787.70879999999988</v>
      </c>
      <c r="E41" s="127">
        <f t="shared" si="20"/>
        <v>601.28438399999993</v>
      </c>
      <c r="F41" s="127">
        <f t="shared" si="20"/>
        <v>390.70356480000004</v>
      </c>
      <c r="G41" s="127">
        <f t="shared" si="20"/>
        <v>639.09440640000014</v>
      </c>
      <c r="H41" s="127">
        <f t="shared" si="20"/>
        <v>373.724064</v>
      </c>
      <c r="I41" s="10">
        <f t="shared" si="0"/>
        <v>3430.5593472</v>
      </c>
    </row>
    <row r="42" spans="1:14" x14ac:dyDescent="0.25">
      <c r="A42" s="314"/>
      <c r="B42" s="315"/>
      <c r="C42" s="127"/>
      <c r="D42" s="127"/>
      <c r="E42" s="127"/>
      <c r="F42" s="127"/>
      <c r="G42" s="127"/>
      <c r="H42" s="127"/>
      <c r="I42" s="10">
        <f t="shared" si="0"/>
        <v>0</v>
      </c>
    </row>
    <row r="43" spans="1:14" ht="13.8" x14ac:dyDescent="0.25">
      <c r="A43" s="314" t="s">
        <v>369</v>
      </c>
      <c r="B43" s="316" t="s">
        <v>665</v>
      </c>
      <c r="C43" s="127">
        <f>+Eficiencia!C149</f>
        <v>18000</v>
      </c>
      <c r="D43" s="127">
        <f>+Eficiencia!D149</f>
        <v>24000</v>
      </c>
      <c r="E43" s="127">
        <f>+Eficiencia!E149</f>
        <v>18000</v>
      </c>
      <c r="F43" s="127">
        <f>+Eficiencia!F149</f>
        <v>14400</v>
      </c>
      <c r="G43" s="127">
        <f>+Eficiencia!G149</f>
        <v>18000</v>
      </c>
      <c r="H43" s="127">
        <f>+Eficiencia!H149</f>
        <v>12000</v>
      </c>
      <c r="I43" s="10">
        <f t="shared" si="0"/>
        <v>104400</v>
      </c>
    </row>
    <row r="44" spans="1:14" x14ac:dyDescent="0.25">
      <c r="A44" s="314" t="s">
        <v>666</v>
      </c>
      <c r="B44" s="316" t="s">
        <v>664</v>
      </c>
      <c r="C44" s="326">
        <v>74496</v>
      </c>
      <c r="D44" s="326">
        <v>97777</v>
      </c>
      <c r="E44" s="326">
        <v>91573</v>
      </c>
      <c r="F44" s="326">
        <v>122973</v>
      </c>
      <c r="G44" s="326">
        <v>97338</v>
      </c>
      <c r="H44" s="326">
        <v>94964</v>
      </c>
      <c r="I44" s="10">
        <f t="shared" si="0"/>
        <v>579121</v>
      </c>
    </row>
    <row r="45" spans="1:14" ht="13.8" x14ac:dyDescent="0.25">
      <c r="A45" s="314" t="s">
        <v>668</v>
      </c>
      <c r="B45" s="316" t="s">
        <v>667</v>
      </c>
      <c r="C45" s="327">
        <f>+((C44-1500)*C43/1000000*0.35)+C41</f>
        <v>1097.9189280000001</v>
      </c>
      <c r="D45" s="327">
        <f t="shared" ref="D45:H45" si="21">+((D44-1500)*D43/1000000*0.35)+D41</f>
        <v>1596.4355999999998</v>
      </c>
      <c r="E45" s="327">
        <f t="shared" si="21"/>
        <v>1168.7442839999999</v>
      </c>
      <c r="F45" s="327">
        <f t="shared" si="21"/>
        <v>1002.9274848</v>
      </c>
      <c r="G45" s="327">
        <f t="shared" si="21"/>
        <v>1242.8738064000001</v>
      </c>
      <c r="H45" s="327">
        <f t="shared" si="21"/>
        <v>766.27286400000003</v>
      </c>
      <c r="I45" s="10">
        <f t="shared" si="0"/>
        <v>6875.1729672000001</v>
      </c>
    </row>
    <row r="46" spans="1:14" ht="13.2" x14ac:dyDescent="0.25">
      <c r="A46" s="314" t="s">
        <v>669</v>
      </c>
      <c r="B46" s="316" t="s">
        <v>670</v>
      </c>
      <c r="C46" s="127">
        <f>9.94*C45</f>
        <v>10913.31414432</v>
      </c>
      <c r="D46" s="127">
        <f t="shared" ref="D46:H46" si="22">9.94*D45</f>
        <v>15868.569863999997</v>
      </c>
      <c r="E46" s="127">
        <f t="shared" si="22"/>
        <v>11617.318182959998</v>
      </c>
      <c r="F46" s="127">
        <f t="shared" si="22"/>
        <v>9969.0991989119993</v>
      </c>
      <c r="G46" s="127">
        <f t="shared" si="22"/>
        <v>12354.165635616</v>
      </c>
      <c r="H46" s="127">
        <f t="shared" si="22"/>
        <v>7616.7522681600003</v>
      </c>
      <c r="I46" s="10">
        <f t="shared" si="0"/>
        <v>68339.219293967995</v>
      </c>
      <c r="N46">
        <f>15200/30</f>
        <v>506.66666666666669</v>
      </c>
    </row>
    <row r="47" spans="1:14" x14ac:dyDescent="0.25">
      <c r="A47" s="314"/>
      <c r="B47" s="316"/>
      <c r="I47" s="10">
        <f t="shared" si="0"/>
        <v>0</v>
      </c>
    </row>
    <row r="48" spans="1:14" ht="14.4" x14ac:dyDescent="0.25">
      <c r="A48" s="314" t="s">
        <v>671</v>
      </c>
      <c r="B48" s="315" t="s">
        <v>648</v>
      </c>
      <c r="C48" s="127">
        <f>+C46*0.4</f>
        <v>4365.3256577279999</v>
      </c>
      <c r="D48" s="127">
        <f t="shared" ref="D48:G48" si="23">+D46*0.4</f>
        <v>6347.4279455999995</v>
      </c>
      <c r="E48" s="127">
        <f t="shared" si="23"/>
        <v>4646.9272731839992</v>
      </c>
      <c r="F48" s="127">
        <f t="shared" si="23"/>
        <v>3987.6396795647997</v>
      </c>
      <c r="G48" s="127">
        <f t="shared" si="23"/>
        <v>4941.6662542464001</v>
      </c>
      <c r="H48" s="127">
        <f>+H46*0.4</f>
        <v>3046.7009072640003</v>
      </c>
      <c r="I48" s="10">
        <f t="shared" si="0"/>
        <v>27335.687717587196</v>
      </c>
    </row>
    <row r="49" spans="1:13" ht="14.4" x14ac:dyDescent="0.25">
      <c r="A49" s="314" t="s">
        <v>672</v>
      </c>
      <c r="B49" s="315" t="s">
        <v>648</v>
      </c>
      <c r="C49" s="127">
        <f>+C48*0.7</f>
        <v>3055.7279604095997</v>
      </c>
      <c r="D49" s="127">
        <f t="shared" ref="D49:H49" si="24">+D48*0.7</f>
        <v>4443.1995619199997</v>
      </c>
      <c r="E49" s="127">
        <f t="shared" si="24"/>
        <v>3252.8490912287994</v>
      </c>
      <c r="F49" s="127">
        <f t="shared" si="24"/>
        <v>2791.3477756953598</v>
      </c>
      <c r="G49" s="127">
        <f t="shared" si="24"/>
        <v>3459.1663779724799</v>
      </c>
      <c r="H49" s="127">
        <f t="shared" si="24"/>
        <v>2132.6906350848003</v>
      </c>
      <c r="I49" s="10">
        <f t="shared" si="0"/>
        <v>19134.981402311038</v>
      </c>
    </row>
    <row r="50" spans="1:13" x14ac:dyDescent="0.25">
      <c r="A50" s="314"/>
      <c r="B50" s="316"/>
      <c r="C50" s="10">
        <f>+C48-C49</f>
        <v>1309.5976973184002</v>
      </c>
      <c r="D50" s="10">
        <f t="shared" ref="D50:H50" si="25">+D48-D49</f>
        <v>1904.2283836799998</v>
      </c>
      <c r="E50" s="10">
        <f t="shared" si="25"/>
        <v>1394.0781819551999</v>
      </c>
      <c r="F50" s="10">
        <f t="shared" si="25"/>
        <v>1196.2919038694399</v>
      </c>
      <c r="G50" s="10">
        <f t="shared" si="25"/>
        <v>1482.4998762739201</v>
      </c>
      <c r="H50" s="10">
        <f t="shared" si="25"/>
        <v>914.0102721792</v>
      </c>
      <c r="I50" s="10">
        <f t="shared" si="0"/>
        <v>8200.7063152761584</v>
      </c>
      <c r="L50">
        <f>0.12/0.88</f>
        <v>0.13636363636363635</v>
      </c>
    </row>
    <row r="51" spans="1:13" ht="14.4" x14ac:dyDescent="0.25">
      <c r="A51" s="314" t="s">
        <v>681</v>
      </c>
      <c r="B51" s="315" t="s">
        <v>648</v>
      </c>
      <c r="C51" s="127">
        <f t="shared" ref="C51:H51" si="26">+C49+C31</f>
        <v>3784.0634619993925</v>
      </c>
      <c r="D51" s="127">
        <f t="shared" si="26"/>
        <v>5031.551050815945</v>
      </c>
      <c r="E51" s="127">
        <f t="shared" si="26"/>
        <v>4014.4366157458585</v>
      </c>
      <c r="F51" s="127">
        <f t="shared" si="26"/>
        <v>3002.7046134424863</v>
      </c>
      <c r="G51" s="127">
        <f t="shared" si="26"/>
        <v>4164.1216131416613</v>
      </c>
      <c r="H51" s="127">
        <f t="shared" si="26"/>
        <v>2497.9183618471207</v>
      </c>
      <c r="I51" s="10">
        <f t="shared" si="0"/>
        <v>22494.795716992467</v>
      </c>
      <c r="M51">
        <f>0.88/0.12</f>
        <v>7.3333333333333339</v>
      </c>
    </row>
    <row r="52" spans="1:13" x14ac:dyDescent="0.25">
      <c r="A52" s="314"/>
      <c r="B52" s="315"/>
      <c r="C52" s="127">
        <f t="shared" ref="C52:H52" si="27">+C51/(C5/1000)</f>
        <v>126.13544873331308</v>
      </c>
      <c r="D52" s="127">
        <f t="shared" si="27"/>
        <v>125.78877627039863</v>
      </c>
      <c r="E52" s="127">
        <f t="shared" si="27"/>
        <v>133.8145538581953</v>
      </c>
      <c r="F52" s="127">
        <f t="shared" si="27"/>
        <v>125.11269222677026</v>
      </c>
      <c r="G52" s="127">
        <f t="shared" si="27"/>
        <v>138.80405377138871</v>
      </c>
      <c r="H52" s="127">
        <f t="shared" si="27"/>
        <v>124.89591809235603</v>
      </c>
      <c r="I52" s="10">
        <f t="shared" si="0"/>
        <v>774.55144295242201</v>
      </c>
    </row>
    <row r="53" spans="1:13" x14ac:dyDescent="0.25">
      <c r="A53" s="314"/>
      <c r="B53" s="315"/>
      <c r="C53" s="127">
        <f>+Scenarios1!C49</f>
        <v>20.135364022200456</v>
      </c>
      <c r="D53" s="127">
        <f>+Scenarios1!D49</f>
        <v>26.178778855480118</v>
      </c>
      <c r="E53" s="127">
        <f>+Scenarios1!E49</f>
        <v>15.433188006756756</v>
      </c>
      <c r="F53" s="127">
        <f>+Scenarios1!F49</f>
        <v>28.40107654051431</v>
      </c>
      <c r="G53" s="127">
        <f>+Scenarios1!G49</f>
        <v>24.168319796631707</v>
      </c>
      <c r="H53" s="127">
        <f>+Scenarios1!H49</f>
        <v>18.2</v>
      </c>
      <c r="I53" s="10"/>
    </row>
    <row r="54" spans="1:13" x14ac:dyDescent="0.25">
      <c r="A54" s="314"/>
      <c r="B54" s="315"/>
      <c r="C54" s="127">
        <f>+C52/C53</f>
        <v>6.2643738943205163</v>
      </c>
      <c r="D54" s="127">
        <f t="shared" ref="D54:H54" si="28">+D52/D53</f>
        <v>4.8049902161141755</v>
      </c>
      <c r="E54" s="127">
        <f t="shared" si="28"/>
        <v>8.6705710964973903</v>
      </c>
      <c r="F54" s="127">
        <f t="shared" si="28"/>
        <v>4.405209501417886</v>
      </c>
      <c r="G54" s="127">
        <f t="shared" si="28"/>
        <v>5.7432231507766449</v>
      </c>
      <c r="H54" s="127">
        <f t="shared" si="28"/>
        <v>6.8624130819975839</v>
      </c>
      <c r="I54" s="10"/>
    </row>
    <row r="55" spans="1:13" x14ac:dyDescent="0.25">
      <c r="A55" s="314" t="s">
        <v>469</v>
      </c>
      <c r="B55" s="315" t="str">
        <f t="shared" ref="B55:H55" si="29">+B34</f>
        <v>kg h-1</v>
      </c>
      <c r="C55" s="315">
        <f t="shared" si="29"/>
        <v>7290</v>
      </c>
      <c r="D55" s="315">
        <f t="shared" si="29"/>
        <v>9000</v>
      </c>
      <c r="E55" s="315">
        <f t="shared" si="29"/>
        <v>6870</v>
      </c>
      <c r="F55" s="315">
        <f t="shared" si="29"/>
        <v>4464</v>
      </c>
      <c r="G55" s="315">
        <f t="shared" si="29"/>
        <v>7302</v>
      </c>
      <c r="H55" s="315">
        <f t="shared" si="29"/>
        <v>4270</v>
      </c>
      <c r="I55" s="315"/>
    </row>
    <row r="56" spans="1:13" x14ac:dyDescent="0.25">
      <c r="A56" s="314" t="s">
        <v>342</v>
      </c>
      <c r="B56" s="315"/>
      <c r="C56" s="374">
        <v>0.5</v>
      </c>
      <c r="D56" s="374">
        <v>0.5</v>
      </c>
      <c r="E56" s="374">
        <v>0.6</v>
      </c>
      <c r="F56" s="374">
        <v>0.5</v>
      </c>
      <c r="G56" s="374">
        <v>0.5</v>
      </c>
      <c r="H56" s="374">
        <v>0.6</v>
      </c>
      <c r="I56" s="198"/>
    </row>
    <row r="57" spans="1:13" x14ac:dyDescent="0.25">
      <c r="A57" s="314" t="s">
        <v>684</v>
      </c>
      <c r="B57" s="315"/>
      <c r="C57" s="127">
        <f>+(C43*0.987)</f>
        <v>17766</v>
      </c>
      <c r="D57" s="127">
        <f t="shared" ref="D57:H57" si="30">+(D43*0.987)</f>
        <v>23688</v>
      </c>
      <c r="E57" s="127">
        <f t="shared" si="30"/>
        <v>17766</v>
      </c>
      <c r="F57" s="127">
        <f t="shared" si="30"/>
        <v>14212.8</v>
      </c>
      <c r="G57" s="127">
        <f t="shared" si="30"/>
        <v>17766</v>
      </c>
      <c r="H57" s="127">
        <f t="shared" si="30"/>
        <v>11844</v>
      </c>
      <c r="I57" s="10"/>
      <c r="L57">
        <f>0.88/0.12</f>
        <v>7.3333333333333339</v>
      </c>
    </row>
    <row r="58" spans="1:13" x14ac:dyDescent="0.25">
      <c r="A58" s="314" t="s">
        <v>466</v>
      </c>
      <c r="B58" s="315"/>
      <c r="C58" s="127">
        <f>(+C56*C55)+(0.95*C57)</f>
        <v>20522.7</v>
      </c>
      <c r="D58" s="127">
        <f t="shared" ref="D58:H58" si="31">(+D56*D55)+(0.95*D57)</f>
        <v>27003.599999999999</v>
      </c>
      <c r="E58" s="127">
        <f t="shared" si="31"/>
        <v>20999.7</v>
      </c>
      <c r="F58" s="127">
        <f t="shared" si="31"/>
        <v>15734.159999999998</v>
      </c>
      <c r="G58" s="127">
        <f t="shared" si="31"/>
        <v>20528.7</v>
      </c>
      <c r="H58" s="127">
        <f t="shared" si="31"/>
        <v>13813.8</v>
      </c>
      <c r="I58" s="10"/>
      <c r="L58">
        <f>-L57+0.021</f>
        <v>-7.312333333333334</v>
      </c>
    </row>
    <row r="59" spans="1:13" x14ac:dyDescent="0.25">
      <c r="A59" s="314" t="s">
        <v>690</v>
      </c>
      <c r="B59" s="315"/>
      <c r="C59" s="127">
        <f>+(1-C56)*C55+(0.05*C57)</f>
        <v>4533.3</v>
      </c>
      <c r="D59" s="127">
        <f t="shared" ref="D59:H59" si="32">+(1-D56)*D55+(0.05*D57)</f>
        <v>5684.4</v>
      </c>
      <c r="E59" s="127">
        <f t="shared" si="32"/>
        <v>3636.3</v>
      </c>
      <c r="F59" s="127">
        <f t="shared" si="32"/>
        <v>2942.64</v>
      </c>
      <c r="G59" s="127">
        <f t="shared" si="32"/>
        <v>4539.3</v>
      </c>
      <c r="H59" s="127">
        <f t="shared" si="32"/>
        <v>2300.1999999999998</v>
      </c>
      <c r="I59" s="10"/>
    </row>
    <row r="60" spans="1:13" x14ac:dyDescent="0.25">
      <c r="A60" s="314" t="s">
        <v>682</v>
      </c>
      <c r="B60" s="315" t="s">
        <v>0</v>
      </c>
      <c r="C60" s="127">
        <f>+C55+C57</f>
        <v>25056</v>
      </c>
      <c r="D60" s="127">
        <f t="shared" ref="D60:H60" si="33">+D55+D57</f>
        <v>32688</v>
      </c>
      <c r="E60" s="127">
        <f t="shared" si="33"/>
        <v>24636</v>
      </c>
      <c r="F60" s="127">
        <f t="shared" si="33"/>
        <v>18676.8</v>
      </c>
      <c r="G60" s="127">
        <f t="shared" si="33"/>
        <v>25068</v>
      </c>
      <c r="H60" s="127">
        <f t="shared" si="33"/>
        <v>16114</v>
      </c>
      <c r="I60" s="10">
        <f>+MEDIAN(C60:H60)</f>
        <v>24846</v>
      </c>
      <c r="L60">
        <f>+I60/30</f>
        <v>828.2</v>
      </c>
      <c r="M60">
        <f>+L60*0.95</f>
        <v>786.79</v>
      </c>
    </row>
    <row r="61" spans="1:13" x14ac:dyDescent="0.25">
      <c r="A61" s="314" t="s">
        <v>683</v>
      </c>
      <c r="B61" s="315" t="s">
        <v>0</v>
      </c>
      <c r="C61" s="127">
        <f>+C60-C62</f>
        <v>5097.300820793429</v>
      </c>
      <c r="D61" s="127">
        <f t="shared" ref="D61:H61" si="34">+D60-D62</f>
        <v>6388.1384404924756</v>
      </c>
      <c r="E61" s="127">
        <f t="shared" si="34"/>
        <v>4076.2871409028703</v>
      </c>
      <c r="F61" s="127">
        <f t="shared" si="34"/>
        <v>3302.1416142270864</v>
      </c>
      <c r="G61" s="127">
        <f t="shared" si="34"/>
        <v>5104.1051983584075</v>
      </c>
      <c r="H61" s="127">
        <f t="shared" si="34"/>
        <v>2577.0705882352941</v>
      </c>
      <c r="I61" s="10">
        <f t="shared" si="0"/>
        <v>26545.043803009561</v>
      </c>
      <c r="M61">
        <f>0.5*219</f>
        <v>109.5</v>
      </c>
    </row>
    <row r="62" spans="1:13" x14ac:dyDescent="0.25">
      <c r="A62" s="314" t="s">
        <v>684</v>
      </c>
      <c r="B62" s="315" t="s">
        <v>0</v>
      </c>
      <c r="C62" s="127">
        <f>((7.33*C58)-C59)/7.31</f>
        <v>19958.699179206571</v>
      </c>
      <c r="D62" s="127">
        <f t="shared" ref="D62:H62" si="35">((7.33*D58)-D59)/7.31</f>
        <v>26299.861559507524</v>
      </c>
      <c r="E62" s="127">
        <f t="shared" si="35"/>
        <v>20559.71285909713</v>
      </c>
      <c r="F62" s="127">
        <f t="shared" si="35"/>
        <v>15374.658385772913</v>
      </c>
      <c r="G62" s="127">
        <f t="shared" si="35"/>
        <v>19963.894801641592</v>
      </c>
      <c r="H62" s="127">
        <f t="shared" si="35"/>
        <v>13536.929411764706</v>
      </c>
      <c r="I62" s="10">
        <f t="shared" si="0"/>
        <v>115693.75619699043</v>
      </c>
    </row>
    <row r="63" spans="1:13" ht="14.4" x14ac:dyDescent="0.25">
      <c r="A63" s="330" t="str">
        <f>Eficiencia!A184</f>
        <v>Q ACP</v>
      </c>
      <c r="B63" s="315" t="s">
        <v>647</v>
      </c>
      <c r="C63" s="127">
        <f>Eficiencia!C184</f>
        <v>810.30362809999997</v>
      </c>
      <c r="D63" s="127">
        <f>Eficiencia!D184</f>
        <v>1111.2726636</v>
      </c>
      <c r="E63" s="127">
        <f>Eficiencia!E184</f>
        <v>805.72834215</v>
      </c>
      <c r="F63" s="127">
        <f>Eficiencia!F184</f>
        <v>602.99459999999999</v>
      </c>
      <c r="G63" s="127">
        <f>Eficiencia!G184</f>
        <v>661.8793419000001</v>
      </c>
      <c r="H63" s="127">
        <f>Eficiencia!H184</f>
        <v>538.44969724999999</v>
      </c>
      <c r="I63" s="10">
        <f t="shared" si="0"/>
        <v>4530.6282730000003</v>
      </c>
      <c r="L63">
        <f>26.6+109.5</f>
        <v>136.1</v>
      </c>
    </row>
    <row r="64" spans="1:13" ht="14.4" x14ac:dyDescent="0.25">
      <c r="A64" s="330" t="str">
        <f>Eficiencia!A185</f>
        <v>Q Palmiste</v>
      </c>
      <c r="B64" s="315" t="s">
        <v>647</v>
      </c>
      <c r="C64" s="127">
        <f>Eficiencia!C185</f>
        <v>262.50962520404835</v>
      </c>
      <c r="D64" s="127">
        <f>Eficiencia!D185</f>
        <v>350.38553313934693</v>
      </c>
      <c r="E64" s="127">
        <f>Eficiencia!E185</f>
        <v>234.96729645270273</v>
      </c>
      <c r="F64" s="127">
        <f>Eficiencia!F185</f>
        <v>178.05373968947112</v>
      </c>
      <c r="G64" s="127">
        <f>Eficiencia!G185</f>
        <v>156.31527301133355</v>
      </c>
      <c r="H64" s="127">
        <f>Eficiencia!H185</f>
        <v>197.85690617987228</v>
      </c>
      <c r="I64" s="10">
        <f t="shared" si="0"/>
        <v>1380.0883736767751</v>
      </c>
      <c r="L64">
        <f>506.3+109.5</f>
        <v>615.79999999999995</v>
      </c>
    </row>
    <row r="65" spans="1:9" ht="14.4" x14ac:dyDescent="0.25">
      <c r="A65" s="330" t="str">
        <f>Eficiencia!A186</f>
        <v>Q APL</v>
      </c>
      <c r="B65" s="315" t="s">
        <v>647</v>
      </c>
      <c r="C65" s="11">
        <f>Eficiencia!C186</f>
        <v>0</v>
      </c>
      <c r="D65" s="127">
        <f>Eficiencia!D186</f>
        <v>202.03332428063365</v>
      </c>
      <c r="E65" s="127">
        <f>Eficiencia!E186</f>
        <v>129.18130405405407</v>
      </c>
      <c r="F65" s="127">
        <f>Eficiencia!F186</f>
        <v>97.891130519165444</v>
      </c>
      <c r="G65" s="127">
        <f>Eficiencia!G186</f>
        <v>92.227933481622699</v>
      </c>
      <c r="H65" s="127">
        <f>Eficiencia!H186</f>
        <v>103.47232522009323</v>
      </c>
      <c r="I65" s="10">
        <f t="shared" si="0"/>
        <v>624.80601755556916</v>
      </c>
    </row>
    <row r="66" spans="1:9" ht="14.4" x14ac:dyDescent="0.25">
      <c r="A66" s="330" t="str">
        <f>Eficiencia!A187</f>
        <v>Q torta palmiste</v>
      </c>
      <c r="B66" s="315" t="s">
        <v>647</v>
      </c>
      <c r="C66" s="11">
        <f>Eficiencia!C187</f>
        <v>0</v>
      </c>
      <c r="D66" s="127">
        <f>Eficiencia!D187</f>
        <v>177.42519553831232</v>
      </c>
      <c r="E66" s="127">
        <f>Eficiencia!E187</f>
        <v>123.15546883445948</v>
      </c>
      <c r="F66" s="127">
        <f>Eficiencia!F187</f>
        <v>93.324867418728772</v>
      </c>
      <c r="G66" s="127">
        <f>Eficiencia!G187</f>
        <v>77.764916640186414</v>
      </c>
      <c r="H66" s="127">
        <f>Eficiencia!H187</f>
        <v>107.21988058864147</v>
      </c>
      <c r="I66" s="10">
        <f t="shared" si="0"/>
        <v>578.89032902032852</v>
      </c>
    </row>
    <row r="67" spans="1:9" x14ac:dyDescent="0.25">
      <c r="A67" s="314"/>
      <c r="B67" s="316"/>
      <c r="C67" s="11"/>
      <c r="D67" s="11"/>
      <c r="E67" s="11"/>
      <c r="F67" s="11"/>
      <c r="G67" s="11"/>
      <c r="H67" s="11"/>
      <c r="I67" s="10">
        <f t="shared" si="0"/>
        <v>0</v>
      </c>
    </row>
    <row r="68" spans="1:9" x14ac:dyDescent="0.25">
      <c r="A68" s="314" t="s">
        <v>676</v>
      </c>
      <c r="B68" s="316"/>
      <c r="C68" s="328">
        <f t="shared" ref="C68:H68" si="36">+(((C27-C28)*0.1)+C8)*4.18*303/3600</f>
        <v>5123.5219632169074</v>
      </c>
      <c r="D68" s="328">
        <f t="shared" si="36"/>
        <v>6962.9410184846802</v>
      </c>
      <c r="E68" s="328">
        <f t="shared" si="36"/>
        <v>8881.23732304447</v>
      </c>
      <c r="F68" s="328">
        <f t="shared" si="36"/>
        <v>3709.0104201895533</v>
      </c>
      <c r="G68" s="328">
        <f t="shared" si="36"/>
        <v>5862.3642745168872</v>
      </c>
      <c r="H68" s="328">
        <f t="shared" si="36"/>
        <v>3684.2460792865822</v>
      </c>
      <c r="I68" s="10">
        <f t="shared" si="0"/>
        <v>34223.321078739085</v>
      </c>
    </row>
    <row r="69" spans="1:9" x14ac:dyDescent="0.25">
      <c r="A69" s="314" t="s">
        <v>677</v>
      </c>
      <c r="B69" s="316"/>
      <c r="C69" s="328">
        <f t="shared" ref="C69:H69" si="37">+C5*2.02*303/3600</f>
        <v>5100.5</v>
      </c>
      <c r="D69" s="328">
        <f t="shared" si="37"/>
        <v>6800.666666666667</v>
      </c>
      <c r="E69" s="328">
        <f t="shared" si="37"/>
        <v>5100.5</v>
      </c>
      <c r="F69" s="328">
        <f t="shared" si="37"/>
        <v>4080.4</v>
      </c>
      <c r="G69" s="328">
        <f t="shared" si="37"/>
        <v>5100.5</v>
      </c>
      <c r="H69" s="328">
        <f t="shared" si="37"/>
        <v>3400.3333333333335</v>
      </c>
      <c r="I69" s="10">
        <f t="shared" si="0"/>
        <v>29582.9</v>
      </c>
    </row>
    <row r="70" spans="1:9" x14ac:dyDescent="0.25">
      <c r="A70" s="314"/>
      <c r="B70" s="316"/>
      <c r="C70" s="11"/>
      <c r="D70" s="11"/>
      <c r="E70" s="11"/>
      <c r="F70" s="11"/>
      <c r="G70" s="11"/>
      <c r="H70" s="11"/>
      <c r="I70" s="10">
        <f t="shared" si="0"/>
        <v>0</v>
      </c>
    </row>
    <row r="71" spans="1:9" x14ac:dyDescent="0.25">
      <c r="A71" t="s">
        <v>478</v>
      </c>
      <c r="C71" s="329">
        <f>+(C63+C64+C65+C66+C51)/(C68+C69)</f>
        <v>0.47504560658976352</v>
      </c>
      <c r="D71" s="329">
        <f t="shared" ref="D71:H71" si="38">+(D63+D64+D65+D66+D51)/(D68+D69)</f>
        <v>0.49933621508179926</v>
      </c>
      <c r="E71" s="329">
        <f t="shared" si="38"/>
        <v>0.37960011010143868</v>
      </c>
      <c r="F71" s="329">
        <f t="shared" si="38"/>
        <v>0.51030421259701986</v>
      </c>
      <c r="G71" s="329">
        <f t="shared" si="38"/>
        <v>0.46997836962656886</v>
      </c>
      <c r="H71" s="329">
        <f t="shared" si="38"/>
        <v>0.48625570700064724</v>
      </c>
      <c r="I71" s="10">
        <f t="shared" si="0"/>
        <v>2.8205202209972375</v>
      </c>
    </row>
    <row r="72" spans="1:9" x14ac:dyDescent="0.25">
      <c r="C72" s="376">
        <f>+C71-Eficiencia!C199</f>
        <v>0.26138259865864044</v>
      </c>
      <c r="D72" s="376">
        <f>+D71-Eficiencia!D199</f>
        <v>0.34411534583905123</v>
      </c>
      <c r="E72" s="376">
        <f>+E71-Eficiencia!E199</f>
        <v>0.20619887749670684</v>
      </c>
      <c r="F72" s="376">
        <f>+F71-Eficiencia!F199</f>
        <v>0.34840169283536682</v>
      </c>
      <c r="G72" s="376">
        <f>+G71-Eficiencia!G199</f>
        <v>0.32206783741106648</v>
      </c>
      <c r="H72" s="376">
        <f>+H71-Eficiencia!H199</f>
        <v>0.29597624272584966</v>
      </c>
    </row>
    <row r="73" spans="1:9" x14ac:dyDescent="0.25">
      <c r="A73" s="314"/>
      <c r="B73" s="316"/>
      <c r="C73" s="10"/>
      <c r="D73" s="10"/>
      <c r="E73" s="10"/>
      <c r="F73" s="10"/>
      <c r="G73" s="10"/>
      <c r="H73" s="10"/>
    </row>
    <row r="74" spans="1:9" x14ac:dyDescent="0.25">
      <c r="A74" s="314"/>
      <c r="B74" s="316"/>
      <c r="C74" s="10"/>
      <c r="D74" s="10"/>
      <c r="E74" s="10"/>
      <c r="F74" s="10"/>
      <c r="G74" s="10"/>
      <c r="H74" s="10"/>
    </row>
    <row r="75" spans="1:9" x14ac:dyDescent="0.25">
      <c r="A75" s="314"/>
    </row>
    <row r="76" spans="1:9" x14ac:dyDescent="0.25">
      <c r="A76" s="314"/>
      <c r="B76" s="316"/>
      <c r="C76" s="10"/>
      <c r="D76" s="10"/>
      <c r="E76" s="10"/>
      <c r="F76" s="10"/>
      <c r="G76" s="10"/>
      <c r="H76" s="10"/>
    </row>
    <row r="77" spans="1:9" x14ac:dyDescent="0.25">
      <c r="A77" s="314"/>
      <c r="B77" s="316"/>
      <c r="C77" s="10"/>
      <c r="D77" s="10"/>
      <c r="E77" s="10"/>
      <c r="F77" s="10"/>
      <c r="G77" s="10"/>
      <c r="H77" s="10"/>
    </row>
    <row r="78" spans="1:9" x14ac:dyDescent="0.25">
      <c r="A78" s="314"/>
      <c r="B78" s="316"/>
      <c r="C78" s="317"/>
      <c r="D78" s="317"/>
      <c r="E78" s="317"/>
      <c r="F78" s="317"/>
      <c r="G78" s="317"/>
      <c r="H78" s="317"/>
    </row>
    <row r="79" spans="1:9" x14ac:dyDescent="0.25">
      <c r="A79" s="314"/>
      <c r="C79" s="10"/>
      <c r="D79" s="10"/>
      <c r="E79" s="10"/>
      <c r="F79" s="10"/>
      <c r="G79" s="10"/>
      <c r="H79" s="10"/>
    </row>
    <row r="80" spans="1:9" x14ac:dyDescent="0.25">
      <c r="A80" s="314"/>
    </row>
    <row r="81" spans="1:8" x14ac:dyDescent="0.25">
      <c r="A81" s="314"/>
    </row>
    <row r="82" spans="1:8" x14ac:dyDescent="0.25">
      <c r="A82" s="314"/>
      <c r="B82" s="316"/>
      <c r="C82" s="10"/>
      <c r="D82" s="10"/>
      <c r="E82" s="10"/>
      <c r="F82" s="10"/>
      <c r="G82" s="10"/>
      <c r="H82" s="10"/>
    </row>
    <row r="83" spans="1:8" x14ac:dyDescent="0.25">
      <c r="A83" s="314"/>
      <c r="B83" s="316"/>
      <c r="C83" s="10"/>
      <c r="D83" s="10"/>
      <c r="E83" s="10"/>
      <c r="F83" s="10"/>
      <c r="G83" s="10"/>
      <c r="H83" s="10"/>
    </row>
    <row r="84" spans="1:8" x14ac:dyDescent="0.25">
      <c r="A84" s="314"/>
      <c r="B84" s="316"/>
      <c r="C84" s="317"/>
      <c r="D84" s="317"/>
      <c r="E84" s="317"/>
      <c r="F84" s="317"/>
      <c r="G84" s="317"/>
      <c r="H84" s="317"/>
    </row>
    <row r="85" spans="1:8" x14ac:dyDescent="0.25">
      <c r="A85" s="314"/>
    </row>
    <row r="86" spans="1:8" x14ac:dyDescent="0.25">
      <c r="A86" s="314"/>
    </row>
    <row r="91" spans="1:8" ht="15.6" x14ac:dyDescent="0.3">
      <c r="C91" s="313"/>
      <c r="D91" s="313"/>
      <c r="E91" s="313"/>
      <c r="F91" s="313"/>
      <c r="G91" s="313"/>
      <c r="H91" s="313"/>
    </row>
    <row r="92" spans="1:8" x14ac:dyDescent="0.25">
      <c r="A92" s="314"/>
      <c r="C92" s="10"/>
      <c r="D92" s="10"/>
      <c r="E92" s="10"/>
      <c r="F92" s="10"/>
      <c r="G92" s="10"/>
      <c r="H92" s="10"/>
    </row>
    <row r="93" spans="1:8" x14ac:dyDescent="0.25">
      <c r="A93" s="314"/>
    </row>
    <row r="94" spans="1:8" x14ac:dyDescent="0.25">
      <c r="A94" s="314"/>
      <c r="C94" s="10"/>
      <c r="D94" s="10"/>
      <c r="E94" s="10"/>
      <c r="F94" s="10"/>
      <c r="G94" s="10"/>
      <c r="H94" s="10"/>
    </row>
    <row r="95" spans="1:8" x14ac:dyDescent="0.25">
      <c r="A95" s="314"/>
    </row>
  </sheetData>
  <mergeCells count="3">
    <mergeCell ref="A2:A3"/>
    <mergeCell ref="B2:B3"/>
    <mergeCell ref="C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C415-BAE0-4F74-BBBB-43D2E6BFDC9B}">
  <dimension ref="A2:AN28"/>
  <sheetViews>
    <sheetView zoomScale="40" zoomScaleNormal="40" workbookViewId="0">
      <pane xSplit="1" ySplit="3" topLeftCell="K9" activePane="bottomRight" state="frozen"/>
      <selection pane="topRight" activeCell="B1" sqref="B1"/>
      <selection pane="bottomLeft" activeCell="A4" sqref="A4"/>
      <selection pane="bottomRight" activeCell="A22" sqref="A22:A27"/>
    </sheetView>
  </sheetViews>
  <sheetFormatPr baseColWidth="10" defaultRowHeight="12" x14ac:dyDescent="0.25"/>
  <cols>
    <col min="3" max="3" width="9.125" bestFit="1" customWidth="1"/>
    <col min="11" max="12" width="12.625" bestFit="1" customWidth="1"/>
    <col min="13" max="13" width="15.125" bestFit="1" customWidth="1"/>
    <col min="14" max="14" width="13.625" bestFit="1" customWidth="1"/>
    <col min="15" max="15" width="15" bestFit="1" customWidth="1"/>
    <col min="16" max="16" width="15.125" bestFit="1" customWidth="1"/>
    <col min="17" max="21" width="12" customWidth="1"/>
    <col min="24" max="24" width="13.125" bestFit="1" customWidth="1"/>
    <col min="26" max="26" width="12.5" bestFit="1" customWidth="1"/>
    <col min="27" max="27" width="14.625" bestFit="1" customWidth="1"/>
    <col min="29" max="29" width="12" customWidth="1"/>
  </cols>
  <sheetData>
    <row r="2" spans="1:40" x14ac:dyDescent="0.25">
      <c r="Q2" s="466" t="s">
        <v>241</v>
      </c>
      <c r="R2" s="466"/>
      <c r="S2" s="466"/>
      <c r="T2" s="466"/>
      <c r="U2" s="466"/>
    </row>
    <row r="3" spans="1:40" ht="30.6" x14ac:dyDescent="0.25">
      <c r="A3" s="377" t="s">
        <v>199</v>
      </c>
      <c r="B3" s="378" t="s">
        <v>692</v>
      </c>
      <c r="C3" s="378" t="s">
        <v>693</v>
      </c>
      <c r="D3" s="378" t="s">
        <v>149</v>
      </c>
      <c r="E3" s="378" t="s">
        <v>694</v>
      </c>
      <c r="F3" s="378" t="s">
        <v>703</v>
      </c>
      <c r="G3" s="378" t="s">
        <v>695</v>
      </c>
      <c r="H3" s="378" t="s">
        <v>696</v>
      </c>
      <c r="I3" s="378" t="s">
        <v>697</v>
      </c>
      <c r="J3" s="378" t="s">
        <v>698</v>
      </c>
      <c r="K3" s="378" t="s">
        <v>699</v>
      </c>
      <c r="L3" s="378" t="s">
        <v>711</v>
      </c>
      <c r="M3" s="378" t="s">
        <v>700</v>
      </c>
      <c r="N3" s="378" t="s">
        <v>701</v>
      </c>
      <c r="O3" s="378" t="s">
        <v>702</v>
      </c>
      <c r="P3" s="377" t="s">
        <v>241</v>
      </c>
      <c r="Q3" s="389" t="s">
        <v>713</v>
      </c>
      <c r="R3" s="389" t="s">
        <v>707</v>
      </c>
      <c r="S3" s="389" t="s">
        <v>704</v>
      </c>
      <c r="T3" s="389" t="s">
        <v>705</v>
      </c>
      <c r="U3" s="389" t="s">
        <v>706</v>
      </c>
      <c r="V3" s="389" t="s">
        <v>709</v>
      </c>
      <c r="W3" s="389" t="s">
        <v>710</v>
      </c>
      <c r="X3" s="389" t="s">
        <v>704</v>
      </c>
      <c r="Y3" s="389" t="s">
        <v>705</v>
      </c>
      <c r="Z3" s="389" t="s">
        <v>706</v>
      </c>
      <c r="AB3" s="389" t="s">
        <v>712</v>
      </c>
      <c r="AC3" s="389" t="s">
        <v>714</v>
      </c>
      <c r="AD3" s="389" t="s">
        <v>704</v>
      </c>
      <c r="AE3" s="389" t="s">
        <v>705</v>
      </c>
      <c r="AF3" s="389" t="s">
        <v>706</v>
      </c>
      <c r="AH3" s="389" t="s">
        <v>709</v>
      </c>
      <c r="AI3" s="389" t="s">
        <v>715</v>
      </c>
      <c r="AJ3" s="389" t="s">
        <v>716</v>
      </c>
      <c r="AK3" s="389" t="s">
        <v>614</v>
      </c>
      <c r="AL3" s="389" t="s">
        <v>717</v>
      </c>
      <c r="AM3" s="389" t="s">
        <v>718</v>
      </c>
    </row>
    <row r="4" spans="1:40" ht="12.6" thickBot="1" x14ac:dyDescent="0.3">
      <c r="A4" s="217" t="s">
        <v>393</v>
      </c>
      <c r="B4" s="379">
        <v>1</v>
      </c>
      <c r="C4" s="380">
        <v>5105</v>
      </c>
      <c r="D4" s="380">
        <v>31719</v>
      </c>
      <c r="E4" s="381">
        <v>153157</v>
      </c>
      <c r="F4" s="385">
        <f>+D4/C4</f>
        <v>6.2133202742409406</v>
      </c>
      <c r="G4" s="386">
        <v>0.79127912791279131</v>
      </c>
      <c r="H4" s="386">
        <v>0</v>
      </c>
      <c r="I4" s="386">
        <v>0.19771977197719773</v>
      </c>
      <c r="J4" s="386">
        <v>1.1001100110011002E-2</v>
      </c>
      <c r="K4" s="380">
        <f>+Eficiencia!C226</f>
        <v>604.06092066601366</v>
      </c>
      <c r="L4" s="380">
        <f>+Eficiencia!C220</f>
        <v>3083731</v>
      </c>
      <c r="M4" s="388">
        <f>+G4*L4</f>
        <v>2440091.9763976401</v>
      </c>
      <c r="N4" s="388">
        <f>+L4*H4</f>
        <v>0</v>
      </c>
      <c r="O4" s="388">
        <f>+I4*L4</f>
        <v>609714.59015901596</v>
      </c>
      <c r="P4" s="388">
        <f>+J4*L4</f>
        <v>33924.433443344336</v>
      </c>
      <c r="Q4" s="105">
        <f>+Eficiencia!C230</f>
        <v>128028.8919</v>
      </c>
      <c r="R4" s="391">
        <f>+Q4/277777.7</f>
        <v>0.46090413989315915</v>
      </c>
      <c r="S4" s="105">
        <f>+R4*74100</f>
        <v>34152.996766083095</v>
      </c>
      <c r="T4" s="390">
        <f>10*R4*24</f>
        <v>110.61699357435819</v>
      </c>
      <c r="U4" s="390">
        <f>0.6*R4*310</f>
        <v>85.728170020127592</v>
      </c>
      <c r="V4" s="10">
        <f>+(S4+T4+U4)/P4*1000</f>
        <v>1012.5251461322962</v>
      </c>
      <c r="W4" s="12">
        <f>+Eficiencia!C237/277777.7</f>
        <v>233.24354042057698</v>
      </c>
      <c r="X4">
        <f>+W4*100000</f>
        <v>23324354.042057697</v>
      </c>
      <c r="Y4">
        <f>+W4*300*25</f>
        <v>1749326.5531543274</v>
      </c>
      <c r="Z4" s="12">
        <f>+W4*4*310</f>
        <v>289221.99012151547</v>
      </c>
      <c r="AA4" s="12">
        <f>+Y4+Z4+X4</f>
        <v>25362902.585333541</v>
      </c>
      <c r="AB4">
        <f>+AA4/M4*1000</f>
        <v>10394.240393666363</v>
      </c>
      <c r="AI4" s="10">
        <f>164.38*L4*I4</f>
        <v>100224884.33033903</v>
      </c>
      <c r="AJ4" s="10">
        <f>+AA4</f>
        <v>25362902.585333541</v>
      </c>
      <c r="AK4" s="10"/>
      <c r="AL4" s="10">
        <f>+(S4+T4+U4)</f>
        <v>34349.341929677583</v>
      </c>
      <c r="AM4" s="12">
        <f>+SUM(AI4:AL4)/L4</f>
        <v>40.737060482124491</v>
      </c>
    </row>
    <row r="5" spans="1:40" ht="12.6" thickBot="1" x14ac:dyDescent="0.3">
      <c r="A5" s="217" t="s">
        <v>394</v>
      </c>
      <c r="B5" s="382">
        <v>2</v>
      </c>
      <c r="C5" s="383">
        <v>5155</v>
      </c>
      <c r="D5" s="383">
        <v>42376</v>
      </c>
      <c r="E5" s="384">
        <v>206207</v>
      </c>
      <c r="F5" s="385">
        <f t="shared" ref="F5:F9" si="0">+D5/C5</f>
        <v>8.2203685741998065</v>
      </c>
      <c r="G5" s="387">
        <v>0</v>
      </c>
      <c r="H5" s="387">
        <v>0</v>
      </c>
      <c r="I5" s="387">
        <v>0.95</v>
      </c>
      <c r="J5" s="387">
        <v>0.05</v>
      </c>
      <c r="K5" s="383">
        <f>+Eficiencia!D226</f>
        <v>1047.1511542192047</v>
      </c>
      <c r="L5" s="383">
        <f>+Eficiencia!D220</f>
        <v>5398064.2000000002</v>
      </c>
      <c r="M5" s="388">
        <f t="shared" ref="M5:M9" si="1">+G5*L5</f>
        <v>0</v>
      </c>
      <c r="N5" s="388">
        <f t="shared" ref="N5:N9" si="2">+L5*H5</f>
        <v>0</v>
      </c>
      <c r="O5" s="388">
        <f t="shared" ref="O5:O9" si="3">+I5*L5</f>
        <v>5128160.99</v>
      </c>
      <c r="P5" s="388">
        <f t="shared" ref="P5:P9" si="4">+J5*L5</f>
        <v>269903.21000000002</v>
      </c>
      <c r="Q5" s="105">
        <f>+Eficiencia!D230</f>
        <v>982552.80669840006</v>
      </c>
      <c r="R5" s="391">
        <f t="shared" ref="R5:R9" si="5">+Q5/277777.7</f>
        <v>3.5371910945277465</v>
      </c>
      <c r="S5" s="105">
        <f t="shared" ref="S5:S9" si="6">+R5*74100</f>
        <v>262105.86010450602</v>
      </c>
      <c r="T5" s="390">
        <f t="shared" ref="T5:T9" si="7">10*R5*24</f>
        <v>848.92586268665912</v>
      </c>
      <c r="U5" s="390">
        <f t="shared" ref="U5:U9" si="8">0.6*R5*310</f>
        <v>657.91754358216087</v>
      </c>
      <c r="V5" s="10">
        <f t="shared" ref="V5:V9" si="9">+(S5+T5+U5)/P5*1000</f>
        <v>976.69347285930689</v>
      </c>
      <c r="W5" s="12"/>
      <c r="AI5" s="10">
        <f t="shared" ref="AI5:AI9" si="10">164.38*L5*I5</f>
        <v>842967103.53619993</v>
      </c>
      <c r="AJ5" s="10"/>
      <c r="AK5" s="10"/>
      <c r="AL5" s="10">
        <f t="shared" ref="AL5:AL9" si="11">+(S5+T5+U5)</f>
        <v>263612.70351077482</v>
      </c>
      <c r="AM5" s="12">
        <f t="shared" ref="AM5:AM9" si="12">+SUM(AI5:AL5)/L5</f>
        <v>156.20983467364294</v>
      </c>
    </row>
    <row r="6" spans="1:40" ht="12.6" thickBot="1" x14ac:dyDescent="0.3">
      <c r="A6" s="217" t="s">
        <v>395</v>
      </c>
      <c r="B6" s="379">
        <v>3</v>
      </c>
      <c r="C6" s="380">
        <v>5920</v>
      </c>
      <c r="D6" s="380">
        <v>34950</v>
      </c>
      <c r="E6" s="381">
        <v>177589</v>
      </c>
      <c r="F6" s="385">
        <f t="shared" si="0"/>
        <v>5.9037162162162158</v>
      </c>
      <c r="G6" s="386">
        <v>0</v>
      </c>
      <c r="H6" s="386">
        <v>0</v>
      </c>
      <c r="I6" s="386">
        <v>0.86399999999999999</v>
      </c>
      <c r="J6" s="386">
        <v>0.13600000000000001</v>
      </c>
      <c r="K6" s="380">
        <f>+Eficiencia!E226</f>
        <v>462.9956402027027</v>
      </c>
      <c r="L6" s="380">
        <f>+Eficiencia!E220</f>
        <v>2740934.19</v>
      </c>
      <c r="M6" s="388">
        <f t="shared" si="1"/>
        <v>0</v>
      </c>
      <c r="N6" s="388">
        <f t="shared" si="2"/>
        <v>0</v>
      </c>
      <c r="O6" s="388">
        <f t="shared" si="3"/>
        <v>2368167.14016</v>
      </c>
      <c r="P6" s="388">
        <f t="shared" si="4"/>
        <v>372767.04983999999</v>
      </c>
      <c r="Q6" s="105">
        <f>+Eficiencia!E230</f>
        <v>1570816.01985</v>
      </c>
      <c r="R6" s="391">
        <f t="shared" si="5"/>
        <v>5.6549392548429909</v>
      </c>
      <c r="S6" s="105">
        <f t="shared" si="6"/>
        <v>419030.99878386565</v>
      </c>
      <c r="T6" s="390">
        <f t="shared" si="7"/>
        <v>1357.1854211623177</v>
      </c>
      <c r="U6" s="390">
        <f t="shared" si="8"/>
        <v>1051.8187014007963</v>
      </c>
      <c r="V6" s="10">
        <f t="shared" si="9"/>
        <v>1130.5720371135815</v>
      </c>
      <c r="W6" s="12"/>
      <c r="AI6" s="10">
        <f t="shared" si="10"/>
        <v>389279314.49950081</v>
      </c>
      <c r="AJ6" s="10"/>
      <c r="AK6" s="10"/>
      <c r="AL6" s="10">
        <f t="shared" si="11"/>
        <v>421440.00290642877</v>
      </c>
      <c r="AM6" s="12">
        <f t="shared" si="12"/>
        <v>142.17807779704745</v>
      </c>
    </row>
    <row r="7" spans="1:40" ht="12.6" thickBot="1" x14ac:dyDescent="0.3">
      <c r="A7" s="217" t="s">
        <v>396</v>
      </c>
      <c r="B7" s="382">
        <v>4</v>
      </c>
      <c r="C7" s="383">
        <v>5496</v>
      </c>
      <c r="D7" s="383">
        <v>26250</v>
      </c>
      <c r="E7" s="384">
        <v>131909</v>
      </c>
      <c r="F7" s="385">
        <f t="shared" si="0"/>
        <v>4.7762008733624457</v>
      </c>
      <c r="G7" s="387">
        <v>0</v>
      </c>
      <c r="H7" s="387">
        <v>0.7</v>
      </c>
      <c r="I7" s="387">
        <v>0.2</v>
      </c>
      <c r="J7" s="387">
        <v>0.1</v>
      </c>
      <c r="K7" s="383">
        <f>+Eficiencia!F226</f>
        <v>681.62583697234345</v>
      </c>
      <c r="L7" s="383">
        <f>+Eficiencia!F220</f>
        <v>3746215.5999999996</v>
      </c>
      <c r="M7" s="388">
        <f t="shared" si="1"/>
        <v>0</v>
      </c>
      <c r="N7" s="388">
        <f t="shared" si="2"/>
        <v>2622350.9199999995</v>
      </c>
      <c r="O7" s="388">
        <f t="shared" si="3"/>
        <v>749243.12</v>
      </c>
      <c r="P7" s="388">
        <f t="shared" si="4"/>
        <v>374621.56</v>
      </c>
      <c r="Q7" s="105">
        <f>+Eficiencia!F230</f>
        <v>1132366.3069740001</v>
      </c>
      <c r="R7" s="391">
        <f t="shared" si="5"/>
        <v>4.0765198465319568</v>
      </c>
      <c r="S7" s="105">
        <f t="shared" si="6"/>
        <v>302070.12062801799</v>
      </c>
      <c r="T7" s="390">
        <f t="shared" si="7"/>
        <v>978.36476316766971</v>
      </c>
      <c r="U7" s="390">
        <f t="shared" si="8"/>
        <v>758.23269145494385</v>
      </c>
      <c r="V7" s="10">
        <f t="shared" si="9"/>
        <v>810.96965717253602</v>
      </c>
      <c r="W7" s="12"/>
      <c r="AC7" s="12">
        <f>+Eficiencia!F219/277777.7</f>
        <v>62.93643970220311</v>
      </c>
      <c r="AD7">
        <f>+AC7*54600</f>
        <v>3436329.60774029</v>
      </c>
      <c r="AE7">
        <f>+AC7*5</f>
        <v>314.68219851101554</v>
      </c>
      <c r="AF7">
        <f>+AC7*0.1</f>
        <v>6.2936439702203115</v>
      </c>
      <c r="AG7">
        <f>SUM(AE7:AF7)</f>
        <v>320.97584248123587</v>
      </c>
      <c r="AH7">
        <f>+AG7/N7*1000</f>
        <v>0.12240003427200963</v>
      </c>
      <c r="AI7" s="10">
        <f t="shared" si="10"/>
        <v>123160584.06559999</v>
      </c>
      <c r="AJ7" s="10"/>
      <c r="AK7" s="10">
        <f>+AG7*1000</f>
        <v>320975.84248123586</v>
      </c>
      <c r="AL7" s="10">
        <f t="shared" si="11"/>
        <v>303806.71808264061</v>
      </c>
      <c r="AM7" s="12">
        <f>+SUM(AI7:AL7)/L7</f>
        <v>33.042776989707662</v>
      </c>
    </row>
    <row r="8" spans="1:40" ht="12.6" thickBot="1" x14ac:dyDescent="0.3">
      <c r="A8" s="217" t="s">
        <v>397</v>
      </c>
      <c r="B8" s="379">
        <v>5</v>
      </c>
      <c r="C8" s="380">
        <v>3147</v>
      </c>
      <c r="D8" s="380">
        <v>15688</v>
      </c>
      <c r="E8" s="381">
        <v>75534</v>
      </c>
      <c r="F8" s="385">
        <f t="shared" si="0"/>
        <v>4.9850651414045126</v>
      </c>
      <c r="G8" s="386">
        <v>0</v>
      </c>
      <c r="H8" s="386">
        <v>0</v>
      </c>
      <c r="I8" s="386">
        <v>0.91589999999999994</v>
      </c>
      <c r="J8" s="386">
        <v>8.4099999999999994E-2</v>
      </c>
      <c r="K8" s="380">
        <f>+Eficiencia!G226</f>
        <v>725.04959389895123</v>
      </c>
      <c r="L8" s="380">
        <f>+Eficiencia!G220</f>
        <v>2281731.0719999997</v>
      </c>
      <c r="M8" s="388">
        <f t="shared" si="1"/>
        <v>0</v>
      </c>
      <c r="N8" s="388">
        <f t="shared" si="2"/>
        <v>0</v>
      </c>
      <c r="O8" s="388">
        <f t="shared" si="3"/>
        <v>2089837.4888447996</v>
      </c>
      <c r="P8" s="388">
        <f t="shared" si="4"/>
        <v>191893.58315519997</v>
      </c>
      <c r="Q8" s="105">
        <f>+Eficiencia!G230</f>
        <v>620368.91988960002</v>
      </c>
      <c r="R8" s="391">
        <f t="shared" si="5"/>
        <v>2.2333287369346064</v>
      </c>
      <c r="S8" s="105">
        <f t="shared" si="6"/>
        <v>165489.65940685433</v>
      </c>
      <c r="T8" s="390">
        <f t="shared" si="7"/>
        <v>535.99889686430549</v>
      </c>
      <c r="U8" s="390">
        <f t="shared" si="8"/>
        <v>415.39914506983678</v>
      </c>
      <c r="V8" s="10">
        <f t="shared" si="9"/>
        <v>867.36124633294287</v>
      </c>
      <c r="W8" s="12"/>
      <c r="AI8" s="10">
        <f t="shared" si="10"/>
        <v>343527486.41630816</v>
      </c>
      <c r="AJ8" s="10"/>
      <c r="AK8" s="10"/>
      <c r="AL8" s="10">
        <f t="shared" si="11"/>
        <v>166441.05744878846</v>
      </c>
      <c r="AM8" s="12">
        <f t="shared" si="12"/>
        <v>150.6285870808166</v>
      </c>
    </row>
    <row r="9" spans="1:40" ht="12.6" thickBot="1" x14ac:dyDescent="0.3">
      <c r="A9" s="217" t="s">
        <v>398</v>
      </c>
      <c r="B9" s="382">
        <v>6</v>
      </c>
      <c r="C9" s="383">
        <v>1931</v>
      </c>
      <c r="D9" s="383">
        <v>7454</v>
      </c>
      <c r="E9" s="384">
        <v>38620</v>
      </c>
      <c r="F9" s="385">
        <f t="shared" si="0"/>
        <v>3.86017607457276</v>
      </c>
      <c r="G9" s="387">
        <v>0</v>
      </c>
      <c r="H9" s="387">
        <v>0</v>
      </c>
      <c r="I9" s="387">
        <v>0.82</v>
      </c>
      <c r="J9" s="387">
        <v>0.18</v>
      </c>
      <c r="K9" s="383">
        <f>+Eficiencia!H226</f>
        <v>364</v>
      </c>
      <c r="L9" s="383">
        <f>+Eficiencia!H220</f>
        <v>702884</v>
      </c>
      <c r="M9" s="388">
        <f t="shared" si="1"/>
        <v>0</v>
      </c>
      <c r="N9" s="388">
        <f t="shared" si="2"/>
        <v>0</v>
      </c>
      <c r="O9" s="388">
        <f t="shared" si="3"/>
        <v>576364.88</v>
      </c>
      <c r="P9" s="388">
        <f t="shared" si="4"/>
        <v>126519.12</v>
      </c>
      <c r="Q9" s="105">
        <f>+Eficiencia!H230</f>
        <v>490685.50077120005</v>
      </c>
      <c r="R9" s="391">
        <f t="shared" si="5"/>
        <v>1.7664682973874435</v>
      </c>
      <c r="S9" s="105">
        <f t="shared" si="6"/>
        <v>130895.30083640956</v>
      </c>
      <c r="T9" s="390">
        <f t="shared" si="7"/>
        <v>423.95239137298643</v>
      </c>
      <c r="U9" s="390">
        <f t="shared" si="8"/>
        <v>328.56310331406451</v>
      </c>
      <c r="V9" s="10">
        <f t="shared" si="9"/>
        <v>1040.5369269964619</v>
      </c>
      <c r="W9" s="12"/>
      <c r="AI9" s="10">
        <f t="shared" si="10"/>
        <v>94742858.974399999</v>
      </c>
      <c r="AJ9" s="10"/>
      <c r="AK9" s="10"/>
      <c r="AL9" s="10">
        <f t="shared" si="11"/>
        <v>131647.8163310966</v>
      </c>
      <c r="AM9" s="12">
        <f t="shared" si="12"/>
        <v>134.97889664685937</v>
      </c>
      <c r="AN9" s="12">
        <f>+AVERAGE(AM4:AM9)</f>
        <v>109.62920561169976</v>
      </c>
    </row>
    <row r="10" spans="1:40" x14ac:dyDescent="0.25">
      <c r="L10" s="10">
        <f>SUM(L4:L9)</f>
        <v>17953560.061999999</v>
      </c>
      <c r="N10" s="394">
        <f>+O10/L10</f>
        <v>0.64173836104795023</v>
      </c>
      <c r="O10" s="10">
        <f>SUM(O4:O9)</f>
        <v>11521488.209163815</v>
      </c>
      <c r="AI10" s="10">
        <f>SUM(AI4:AI9)</f>
        <v>1893902231.8223479</v>
      </c>
      <c r="AJ10" s="10">
        <f t="shared" ref="AJ10:AL10" si="13">SUM(AJ4:AJ9)</f>
        <v>25362902.585333541</v>
      </c>
      <c r="AK10" s="10">
        <f t="shared" si="13"/>
        <v>320975.84248123586</v>
      </c>
      <c r="AL10" s="10">
        <f t="shared" si="13"/>
        <v>1321297.6402094071</v>
      </c>
      <c r="AM10" s="10">
        <f>SUM(AI10:AL10)</f>
        <v>1920907407.890372</v>
      </c>
    </row>
    <row r="11" spans="1:40" x14ac:dyDescent="0.25">
      <c r="AM11" s="198">
        <f>+AI10/AM10</f>
        <v>0.98594144831911368</v>
      </c>
    </row>
    <row r="12" spans="1:40" ht="30.6" x14ac:dyDescent="0.25">
      <c r="A12" s="377" t="s">
        <v>199</v>
      </c>
      <c r="B12" s="378" t="s">
        <v>692</v>
      </c>
      <c r="C12" s="378" t="s">
        <v>693</v>
      </c>
      <c r="D12" s="378" t="s">
        <v>149</v>
      </c>
      <c r="E12" s="378" t="s">
        <v>694</v>
      </c>
      <c r="F12" s="378" t="s">
        <v>703</v>
      </c>
      <c r="G12" s="378" t="s">
        <v>695</v>
      </c>
      <c r="H12" s="378" t="s">
        <v>696</v>
      </c>
      <c r="I12" s="378" t="s">
        <v>720</v>
      </c>
      <c r="J12" s="378" t="s">
        <v>721</v>
      </c>
      <c r="K12" s="389" t="s">
        <v>704</v>
      </c>
      <c r="L12" s="389" t="s">
        <v>705</v>
      </c>
      <c r="M12" s="389" t="s">
        <v>706</v>
      </c>
      <c r="N12" s="378" t="s">
        <v>723</v>
      </c>
      <c r="O12" s="378" t="s">
        <v>722</v>
      </c>
      <c r="P12" s="389" t="s">
        <v>704</v>
      </c>
      <c r="Q12" s="389" t="s">
        <v>705</v>
      </c>
      <c r="R12" s="389" t="s">
        <v>706</v>
      </c>
      <c r="S12" s="389" t="s">
        <v>725</v>
      </c>
      <c r="T12" s="389" t="s">
        <v>724</v>
      </c>
      <c r="U12" s="389" t="s">
        <v>726</v>
      </c>
      <c r="V12" s="389" t="s">
        <v>727</v>
      </c>
      <c r="W12" s="389" t="s">
        <v>728</v>
      </c>
      <c r="Y12" s="389"/>
    </row>
    <row r="13" spans="1:40" ht="12.6" thickBot="1" x14ac:dyDescent="0.3">
      <c r="A13" s="217" t="s">
        <v>393</v>
      </c>
      <c r="B13" s="379">
        <v>1</v>
      </c>
      <c r="C13" s="380">
        <v>5105</v>
      </c>
      <c r="D13" s="380">
        <v>31719</v>
      </c>
      <c r="E13" s="381">
        <v>153157</v>
      </c>
      <c r="F13" s="385">
        <f>+D13/C13</f>
        <v>6.2133202742409406</v>
      </c>
      <c r="G13" s="392">
        <f>+Scenarios1!C35</f>
        <v>6820.3303589229827</v>
      </c>
      <c r="H13" s="392">
        <f>+Scenarios1!C44</f>
        <v>1828.4622047999999</v>
      </c>
      <c r="I13" s="392">
        <f>+Scenarios1!C29</f>
        <v>35802.370965908376</v>
      </c>
      <c r="J13" s="392">
        <f>+I13*C13/277777.7</f>
        <v>657.9761578447883</v>
      </c>
      <c r="K13" s="127">
        <f>+J13*100000</f>
        <v>65797615.784478828</v>
      </c>
      <c r="L13" s="127">
        <f>300*J13*25</f>
        <v>4934821.1838359125</v>
      </c>
      <c r="M13" s="127">
        <f>4*J13*310</f>
        <v>815890.43572753749</v>
      </c>
      <c r="N13" s="127">
        <f>+Scenarios1!C42</f>
        <v>4571.1555119999994</v>
      </c>
      <c r="O13" s="321">
        <f>+N13*C13/277777.7</f>
        <v>84.008719521977454</v>
      </c>
      <c r="P13" s="127">
        <f>54600*O13</f>
        <v>4586876.0858999686</v>
      </c>
      <c r="Q13" s="127">
        <f>+O13*5*25</f>
        <v>10501.089940247182</v>
      </c>
      <c r="R13" s="321">
        <f>0.1*O13*310</f>
        <v>2604.270305181301</v>
      </c>
      <c r="S13" s="10">
        <f>+(K13+L13+M13)+(P13+Q13+R13)+U13</f>
        <v>55465987.570187673</v>
      </c>
      <c r="T13">
        <v>-135.04</v>
      </c>
      <c r="U13">
        <f>+T13*E13</f>
        <v>-20682321.279999997</v>
      </c>
      <c r="V13" s="10">
        <f>+(G13+H13)*C13</f>
        <v>44152086.037805825</v>
      </c>
      <c r="W13" s="10">
        <f t="shared" ref="W13:W18" si="14">16600*D13*1000/3600</f>
        <v>146259833.33333334</v>
      </c>
      <c r="X13" s="205">
        <f>+S13/(V13+W13)</f>
        <v>0.29129472437109777</v>
      </c>
      <c r="Y13" s="390">
        <f>+V13/(V13+W13)</f>
        <v>0.23187669229754101</v>
      </c>
      <c r="Z13" s="321">
        <f>+X13*Y13*1000</f>
        <v>67.544457170894063</v>
      </c>
    </row>
    <row r="14" spans="1:40" ht="12.6" thickBot="1" x14ac:dyDescent="0.3">
      <c r="A14" s="217" t="s">
        <v>394</v>
      </c>
      <c r="B14" s="382">
        <v>2</v>
      </c>
      <c r="C14" s="383">
        <v>5155</v>
      </c>
      <c r="D14" s="383">
        <v>42376</v>
      </c>
      <c r="E14" s="384">
        <v>206207</v>
      </c>
      <c r="F14" s="385">
        <f t="shared" ref="F14:F18" si="15">+D14/C14</f>
        <v>8.2203685741998065</v>
      </c>
      <c r="G14" s="393">
        <f>+Scenarios1!D35</f>
        <v>8202.6368328371027</v>
      </c>
      <c r="H14" s="393">
        <f>+Scenarios1!D44</f>
        <v>3215.4977567999999</v>
      </c>
      <c r="I14" s="393">
        <f>+Scenarios1!D29</f>
        <v>43153.260472957707</v>
      </c>
      <c r="J14" s="392">
        <f t="shared" ref="J14:J18" si="16">+I14*C14/277777.7</f>
        <v>800.83843209191014</v>
      </c>
      <c r="K14" s="127">
        <f t="shared" ref="K14:K18" si="17">+J14*100000</f>
        <v>80083843.209191009</v>
      </c>
      <c r="L14" s="127">
        <f t="shared" ref="L14:L18" si="18">300*J14*25</f>
        <v>6006288.2406893261</v>
      </c>
      <c r="M14" s="127">
        <f t="shared" ref="M14:M18" si="19">4*J14*310</f>
        <v>993039.65579396859</v>
      </c>
      <c r="N14" s="127">
        <f>+Scenarios1!D42</f>
        <v>8038.7443919999996</v>
      </c>
      <c r="O14" s="321">
        <f t="shared" ref="O14:O18" si="20">+N14*C14/277777.7</f>
        <v>149.18306019799286</v>
      </c>
      <c r="P14" s="127">
        <f t="shared" ref="P14:P18" si="21">54600*O14</f>
        <v>8145395.08681041</v>
      </c>
      <c r="Q14" s="127">
        <f t="shared" ref="Q14:Q18" si="22">+O14*5*25</f>
        <v>18647.882524749108</v>
      </c>
      <c r="R14" s="321">
        <f t="shared" ref="R14:R18" si="23">0.1*O14*310</f>
        <v>4624.6748661377787</v>
      </c>
      <c r="S14" s="10">
        <f t="shared" ref="S14:S18" si="24">+(K14+L14+M14)+(P14+Q14+R14)+U14</f>
        <v>67405645.469875589</v>
      </c>
      <c r="T14">
        <v>-135.04</v>
      </c>
      <c r="U14">
        <f t="shared" ref="U14:U18" si="25">+T14*E14</f>
        <v>-27846193.279999997</v>
      </c>
      <c r="V14" s="10">
        <f t="shared" ref="V14:V18" si="26">+(G14+H14)*C14</f>
        <v>58860483.809579261</v>
      </c>
      <c r="W14" s="10">
        <f t="shared" si="14"/>
        <v>195400444.44444445</v>
      </c>
      <c r="X14" s="205">
        <f t="shared" ref="X14:X18" si="27">+S14/(V14+W14)</f>
        <v>0.26510422160707614</v>
      </c>
      <c r="Y14" s="390">
        <f t="shared" ref="Y14:Y18" si="28">+V14/(V14+W14)</f>
        <v>0.23149637741735016</v>
      </c>
      <c r="Z14" s="321">
        <f t="shared" ref="Z14:Z18" si="29">+X14*Y14*1000</f>
        <v>61.370666940084533</v>
      </c>
    </row>
    <row r="15" spans="1:40" ht="12.6" thickBot="1" x14ac:dyDescent="0.3">
      <c r="A15" s="217" t="s">
        <v>395</v>
      </c>
      <c r="B15" s="379">
        <v>3</v>
      </c>
      <c r="C15" s="380">
        <v>5920</v>
      </c>
      <c r="D15" s="380">
        <v>34950</v>
      </c>
      <c r="E15" s="381">
        <v>177589</v>
      </c>
      <c r="F15" s="385">
        <f t="shared" si="15"/>
        <v>5.9037162162162158</v>
      </c>
      <c r="G15" s="392">
        <f>+Scenarios1!E35</f>
        <v>6328.8989406241581</v>
      </c>
      <c r="H15" s="392">
        <f>+Scenarios1!E44</f>
        <v>2256.2205623999998</v>
      </c>
      <c r="I15" s="392">
        <f>+Scenarios1!E29</f>
        <v>33331.964174491011</v>
      </c>
      <c r="J15" s="392">
        <f t="shared" si="16"/>
        <v>710.3710193906378</v>
      </c>
      <c r="K15" s="127">
        <f t="shared" si="17"/>
        <v>71037101.939063773</v>
      </c>
      <c r="L15" s="127">
        <f t="shared" si="18"/>
        <v>5327782.6454297835</v>
      </c>
      <c r="M15" s="127">
        <f t="shared" si="19"/>
        <v>880860.06404439092</v>
      </c>
      <c r="N15" s="127">
        <f>+Scenarios1!E42</f>
        <v>5640.5514059999996</v>
      </c>
      <c r="O15" s="321">
        <f t="shared" si="20"/>
        <v>120.21146522388224</v>
      </c>
      <c r="P15" s="127">
        <f t="shared" si="21"/>
        <v>6563546.0012239702</v>
      </c>
      <c r="Q15" s="127">
        <f t="shared" si="22"/>
        <v>15026.433152985279</v>
      </c>
      <c r="R15" s="321">
        <f t="shared" si="23"/>
        <v>3726.5554219403498</v>
      </c>
      <c r="S15" s="10">
        <f t="shared" si="24"/>
        <v>59846425.078336835</v>
      </c>
      <c r="T15">
        <v>-135.04</v>
      </c>
      <c r="U15">
        <f t="shared" si="25"/>
        <v>-23981618.559999999</v>
      </c>
      <c r="V15" s="10">
        <f t="shared" si="26"/>
        <v>50823907.457903013</v>
      </c>
      <c r="W15" s="10">
        <f t="shared" si="14"/>
        <v>161158333.33333334</v>
      </c>
      <c r="X15" s="205">
        <f t="shared" si="27"/>
        <v>0.282318107662965</v>
      </c>
      <c r="Y15" s="390">
        <f t="shared" si="28"/>
        <v>0.23975549681992109</v>
      </c>
      <c r="Z15" s="321">
        <f t="shared" si="29"/>
        <v>67.687318163994149</v>
      </c>
    </row>
    <row r="16" spans="1:40" ht="12.6" thickBot="1" x14ac:dyDescent="0.3">
      <c r="A16" s="217" t="s">
        <v>396</v>
      </c>
      <c r="B16" s="382">
        <v>4</v>
      </c>
      <c r="C16" s="383">
        <v>5496</v>
      </c>
      <c r="D16" s="383">
        <v>26250</v>
      </c>
      <c r="E16" s="384">
        <v>131909</v>
      </c>
      <c r="F16" s="385">
        <f t="shared" si="15"/>
        <v>4.7762008733624457</v>
      </c>
      <c r="G16" s="393">
        <f>+Scenarios1!F35</f>
        <v>4864.0389448658016</v>
      </c>
      <c r="H16" s="393">
        <f>+Scenarios1!F44</f>
        <v>2434.2023059199996</v>
      </c>
      <c r="I16" s="393">
        <f>+Scenarios1!F29</f>
        <v>25609.787829424353</v>
      </c>
      <c r="J16" s="392">
        <f t="shared" si="16"/>
        <v>506.7051599553032</v>
      </c>
      <c r="K16" s="127">
        <f t="shared" si="17"/>
        <v>50670515.995530322</v>
      </c>
      <c r="L16" s="127">
        <f t="shared" si="18"/>
        <v>3800288.6996647744</v>
      </c>
      <c r="M16" s="127">
        <f t="shared" si="19"/>
        <v>628314.39834457601</v>
      </c>
      <c r="N16" s="127">
        <f>+Scenarios1!F42</f>
        <v>6085.5057647999984</v>
      </c>
      <c r="O16" s="321">
        <f t="shared" si="20"/>
        <v>120.40541657354349</v>
      </c>
      <c r="P16" s="127">
        <f t="shared" si="21"/>
        <v>6574135.7449154742</v>
      </c>
      <c r="Q16" s="127">
        <f t="shared" si="22"/>
        <v>15050.677071692937</v>
      </c>
      <c r="R16" s="321">
        <f t="shared" si="23"/>
        <v>3732.5679137798484</v>
      </c>
      <c r="S16" s="10">
        <f t="shared" si="24"/>
        <v>43879046.723440617</v>
      </c>
      <c r="T16">
        <v>-135.04</v>
      </c>
      <c r="U16">
        <f t="shared" si="25"/>
        <v>-17812991.359999999</v>
      </c>
      <c r="V16" s="10">
        <f t="shared" si="26"/>
        <v>40111133.914318763</v>
      </c>
      <c r="W16" s="10">
        <f t="shared" si="14"/>
        <v>121041666.66666667</v>
      </c>
      <c r="X16" s="205">
        <f t="shared" si="27"/>
        <v>0.27228224743999857</v>
      </c>
      <c r="Y16" s="390">
        <f t="shared" si="28"/>
        <v>0.24890125253616915</v>
      </c>
      <c r="Z16" s="321">
        <f t="shared" si="29"/>
        <v>67.771392431178782</v>
      </c>
    </row>
    <row r="17" spans="1:27" ht="12.6" thickBot="1" x14ac:dyDescent="0.3">
      <c r="A17" s="217" t="s">
        <v>397</v>
      </c>
      <c r="B17" s="379">
        <v>5</v>
      </c>
      <c r="C17" s="380">
        <v>3147</v>
      </c>
      <c r="D17" s="380">
        <v>15688</v>
      </c>
      <c r="E17" s="381">
        <v>75534</v>
      </c>
      <c r="F17" s="385">
        <f t="shared" si="15"/>
        <v>4.9850651414045126</v>
      </c>
      <c r="G17" s="392">
        <f>+Scenarios1!G35</f>
        <v>6378.3074100318508</v>
      </c>
      <c r="H17" s="392">
        <f>+Scenarios1!G44</f>
        <v>2400.6268943999999</v>
      </c>
      <c r="I17" s="392">
        <f>+Scenarios1!G29</f>
        <v>33476.691069962719</v>
      </c>
      <c r="J17" s="392">
        <f t="shared" si="16"/>
        <v>379.26423466380731</v>
      </c>
      <c r="K17" s="127">
        <f t="shared" si="17"/>
        <v>37926423.46638073</v>
      </c>
      <c r="L17" s="127">
        <f t="shared" si="18"/>
        <v>2844481.7599785547</v>
      </c>
      <c r="M17" s="127">
        <f t="shared" si="19"/>
        <v>470287.65098312107</v>
      </c>
      <c r="N17" s="127">
        <f>+Scenarios1!G42</f>
        <v>6001.5672359999999</v>
      </c>
      <c r="O17" s="321">
        <f t="shared" si="20"/>
        <v>67.992974568124083</v>
      </c>
      <c r="P17" s="127">
        <f t="shared" si="21"/>
        <v>3712416.4114195751</v>
      </c>
      <c r="Q17" s="127">
        <f t="shared" si="22"/>
        <v>8499.1218210155093</v>
      </c>
      <c r="R17" s="321">
        <f t="shared" si="23"/>
        <v>2107.7822116118468</v>
      </c>
      <c r="S17" s="10">
        <f t="shared" si="24"/>
        <v>34764104.832794607</v>
      </c>
      <c r="T17">
        <v>-135.04</v>
      </c>
      <c r="U17">
        <f t="shared" si="25"/>
        <v>-10200111.359999999</v>
      </c>
      <c r="V17" s="10">
        <f t="shared" si="26"/>
        <v>27627306.256047033</v>
      </c>
      <c r="W17" s="10">
        <f t="shared" si="14"/>
        <v>72339111.111111104</v>
      </c>
      <c r="X17" s="205">
        <f t="shared" si="27"/>
        <v>0.34775783456470671</v>
      </c>
      <c r="Y17" s="390">
        <f t="shared" si="28"/>
        <v>0.27636587349706704</v>
      </c>
      <c r="Z17" s="321">
        <f t="shared" si="29"/>
        <v>96.108397714923697</v>
      </c>
    </row>
    <row r="18" spans="1:27" ht="12.6" thickBot="1" x14ac:dyDescent="0.3">
      <c r="A18" s="217" t="s">
        <v>398</v>
      </c>
      <c r="B18" s="382">
        <v>6</v>
      </c>
      <c r="C18" s="383">
        <v>1931</v>
      </c>
      <c r="D18" s="383">
        <v>7454</v>
      </c>
      <c r="E18" s="384">
        <v>38620</v>
      </c>
      <c r="F18" s="385">
        <f t="shared" si="15"/>
        <v>3.86017607457276</v>
      </c>
      <c r="G18" s="393">
        <f>+Scenarios1!H35</f>
        <v>4544.043900244651</v>
      </c>
      <c r="H18" s="393">
        <f>+Scenarios1!H44</f>
        <v>1560.7740287999998</v>
      </c>
      <c r="I18" s="393">
        <f>+Scenarios1!H29</f>
        <v>23843.551966466697</v>
      </c>
      <c r="J18" s="392">
        <f t="shared" si="16"/>
        <v>165.75088226033691</v>
      </c>
      <c r="K18" s="127">
        <f t="shared" si="17"/>
        <v>16575088.226033691</v>
      </c>
      <c r="L18" s="127">
        <f t="shared" si="18"/>
        <v>1243131.6169525268</v>
      </c>
      <c r="M18" s="127">
        <f t="shared" si="19"/>
        <v>205531.09400281776</v>
      </c>
      <c r="N18" s="127">
        <f>+Scenarios1!H42</f>
        <v>3901.9350719999993</v>
      </c>
      <c r="O18" s="321">
        <f t="shared" si="20"/>
        <v>27.124699441431037</v>
      </c>
      <c r="P18" s="127">
        <f t="shared" si="21"/>
        <v>1481008.5895021346</v>
      </c>
      <c r="Q18" s="127">
        <f t="shared" si="22"/>
        <v>3390.5874301788799</v>
      </c>
      <c r="R18" s="321">
        <f t="shared" si="23"/>
        <v>840.86568268436213</v>
      </c>
      <c r="S18" s="10">
        <f t="shared" si="24"/>
        <v>14293746.179604031</v>
      </c>
      <c r="T18">
        <v>-135.04</v>
      </c>
      <c r="U18">
        <f t="shared" si="25"/>
        <v>-5215244.8</v>
      </c>
      <c r="V18" s="10">
        <f t="shared" si="26"/>
        <v>11788403.42098522</v>
      </c>
      <c r="W18" s="10">
        <f t="shared" si="14"/>
        <v>34371222.222222224</v>
      </c>
      <c r="X18" s="205">
        <f t="shared" si="27"/>
        <v>0.30965905768144825</v>
      </c>
      <c r="Y18" s="390">
        <f t="shared" si="28"/>
        <v>0.25538342776226403</v>
      </c>
      <c r="Z18" s="321">
        <f t="shared" si="29"/>
        <v>79.081791588320897</v>
      </c>
    </row>
    <row r="19" spans="1:27" x14ac:dyDescent="0.25">
      <c r="Z19" s="12">
        <f>+AVERAGE(Z13:Z18)</f>
        <v>73.260670668232692</v>
      </c>
      <c r="AA19">
        <f>+(AN9-Z19)/AN9</f>
        <v>0.33174129777317091</v>
      </c>
    </row>
    <row r="20" spans="1:27" x14ac:dyDescent="0.25">
      <c r="K20" s="10">
        <f>+K13+P13+U13</f>
        <v>49702170.590378791</v>
      </c>
      <c r="L20" s="324">
        <f>+K20/V13</f>
        <v>1.1257037900275115</v>
      </c>
    </row>
    <row r="21" spans="1:27" ht="30.6" x14ac:dyDescent="0.25">
      <c r="A21" s="377" t="s">
        <v>199</v>
      </c>
      <c r="B21" s="378" t="s">
        <v>692</v>
      </c>
      <c r="C21" s="378" t="s">
        <v>693</v>
      </c>
      <c r="D21" s="378" t="s">
        <v>149</v>
      </c>
      <c r="E21" s="378" t="s">
        <v>694</v>
      </c>
      <c r="F21" s="378" t="s">
        <v>703</v>
      </c>
      <c r="G21" s="378" t="s">
        <v>695</v>
      </c>
      <c r="H21" s="378" t="s">
        <v>696</v>
      </c>
      <c r="I21" s="378" t="s">
        <v>720</v>
      </c>
      <c r="J21" s="378" t="s">
        <v>721</v>
      </c>
      <c r="K21" s="389" t="s">
        <v>704</v>
      </c>
      <c r="L21" s="389" t="s">
        <v>705</v>
      </c>
      <c r="M21" s="389" t="s">
        <v>706</v>
      </c>
      <c r="N21" s="378" t="s">
        <v>723</v>
      </c>
      <c r="O21" s="378" t="s">
        <v>722</v>
      </c>
      <c r="P21" s="389" t="s">
        <v>704</v>
      </c>
      <c r="Q21" s="389" t="s">
        <v>705</v>
      </c>
      <c r="R21" s="389" t="s">
        <v>706</v>
      </c>
      <c r="S21" s="389" t="s">
        <v>725</v>
      </c>
      <c r="T21" s="389" t="s">
        <v>724</v>
      </c>
      <c r="U21" s="389" t="s">
        <v>726</v>
      </c>
      <c r="V21" s="389" t="s">
        <v>727</v>
      </c>
      <c r="W21" s="389" t="s">
        <v>728</v>
      </c>
    </row>
    <row r="22" spans="1:27" ht="12.6" thickBot="1" x14ac:dyDescent="0.3">
      <c r="A22" s="217" t="s">
        <v>393</v>
      </c>
      <c r="B22" s="379">
        <v>1</v>
      </c>
      <c r="C22" s="380">
        <v>5105</v>
      </c>
      <c r="D22" s="380">
        <v>31719</v>
      </c>
      <c r="E22" s="381">
        <v>153157</v>
      </c>
      <c r="F22" s="385">
        <f>+D22/C22</f>
        <v>6.2133202742409406</v>
      </c>
      <c r="G22" s="392">
        <f>+Scenarios2!C30</f>
        <v>1381.4991024112949</v>
      </c>
      <c r="H22" s="392">
        <f>+Scenarios2!C48</f>
        <v>4365.3256577279999</v>
      </c>
      <c r="I22" s="392">
        <f>+Scenarios2!C24</f>
        <v>20929.305972980379</v>
      </c>
      <c r="J22" s="392">
        <f>+I22*C22/277777.7</f>
        <v>384.63889287032339</v>
      </c>
      <c r="K22" s="127">
        <f>+J22*100000</f>
        <v>38463889.287032336</v>
      </c>
      <c r="L22" s="127">
        <f>300*J22*25</f>
        <v>2884791.6965274252</v>
      </c>
      <c r="M22" s="127">
        <f>4*J22*310</f>
        <v>476952.22715920099</v>
      </c>
      <c r="N22" s="127">
        <f>+Scenarios2!C46</f>
        <v>10913.31414432</v>
      </c>
      <c r="O22" s="321">
        <f>+N22*C22/277777.7</f>
        <v>200.56494350249716</v>
      </c>
      <c r="P22" s="127">
        <f>54600*O22</f>
        <v>10950845.915236345</v>
      </c>
      <c r="Q22" s="127">
        <f>+O22*5*25</f>
        <v>25070.617937812145</v>
      </c>
      <c r="R22" s="321">
        <f>0.1*O22*310</f>
        <v>6217.5132485774129</v>
      </c>
      <c r="S22" s="10">
        <f>+(K22+L22+M22)+(P22+Q22+R22)+U22</f>
        <v>32125445.977141697</v>
      </c>
      <c r="T22">
        <v>-135.04</v>
      </c>
      <c r="U22">
        <f>+T22*E22</f>
        <v>-20682321.279999997</v>
      </c>
      <c r="V22" s="10">
        <f>+(G22+H22)*C22</f>
        <v>29337540.400511101</v>
      </c>
      <c r="W22" s="10">
        <f t="shared" ref="W22:W27" si="30">16600*D22*1000/3600</f>
        <v>146259833.33333334</v>
      </c>
      <c r="X22" s="205">
        <f>+S22/(V22+W22)</f>
        <v>0.18294946726159306</v>
      </c>
      <c r="Y22" s="390">
        <f>+V22/(V22+W22)</f>
        <v>0.16707277436266471</v>
      </c>
      <c r="Z22" s="321">
        <f>+X22*Y22*1000</f>
        <v>30.565875063565851</v>
      </c>
    </row>
    <row r="23" spans="1:27" ht="12.6" thickBot="1" x14ac:dyDescent="0.3">
      <c r="A23" s="217" t="s">
        <v>394</v>
      </c>
      <c r="B23" s="382">
        <v>2</v>
      </c>
      <c r="C23" s="383">
        <v>5155</v>
      </c>
      <c r="D23" s="383">
        <v>42376</v>
      </c>
      <c r="E23" s="384">
        <v>206207</v>
      </c>
      <c r="F23" s="385">
        <f t="shared" ref="F23:F27" si="31">+D23/C23</f>
        <v>8.2203685741998065</v>
      </c>
      <c r="G23" s="393">
        <f>+Scenarios2!D30</f>
        <v>1704.7348712911592</v>
      </c>
      <c r="H23" s="393">
        <f>+Scenarios2!D48</f>
        <v>6347.4279455999995</v>
      </c>
      <c r="I23" s="393">
        <f>+Scenarios2!D24</f>
        <v>24791.451839713256</v>
      </c>
      <c r="J23" s="392">
        <f t="shared" ref="J23:J27" si="32">+I23*C23/277777.7</f>
        <v>460.0798920637684</v>
      </c>
      <c r="K23" s="127">
        <f t="shared" ref="K23:K27" si="33">+J23*100000</f>
        <v>46007989.206376843</v>
      </c>
      <c r="L23" s="127">
        <f t="shared" ref="L23:L27" si="34">300*J23*25</f>
        <v>3450599.1904782634</v>
      </c>
      <c r="M23" s="127">
        <f t="shared" ref="M23:M27" si="35">4*J23*310</f>
        <v>570499.0661590728</v>
      </c>
      <c r="N23" s="127">
        <f>+Scenarios2!D46</f>
        <v>15868.569863999997</v>
      </c>
      <c r="O23" s="321">
        <f t="shared" ref="O23:O27" si="36">+N23*C23/277777.7</f>
        <v>294.4890019930325</v>
      </c>
      <c r="P23" s="127">
        <f t="shared" ref="P23:P27" si="37">54600*O23</f>
        <v>16079099.508819574</v>
      </c>
      <c r="Q23" s="127">
        <f t="shared" ref="Q23:Q27" si="38">+O23*5*25</f>
        <v>36811.125249129065</v>
      </c>
      <c r="R23" s="321">
        <f t="shared" ref="R23:R27" si="39">0.1*O23*310</f>
        <v>9129.1590617840084</v>
      </c>
      <c r="S23" s="10">
        <f t="shared" ref="S23:S27" si="40">+(K23+L23+M23)+(P23+Q23+R23)+U23</f>
        <v>38307933.976144671</v>
      </c>
      <c r="T23">
        <v>-135.04</v>
      </c>
      <c r="U23">
        <f t="shared" ref="U23:U27" si="41">+T23*E23</f>
        <v>-27846193.279999997</v>
      </c>
      <c r="V23" s="10">
        <f t="shared" ref="V23:V27" si="42">+(G23+H23)*C23</f>
        <v>41508899.32107392</v>
      </c>
      <c r="W23" s="10">
        <f t="shared" si="30"/>
        <v>195400444.44444445</v>
      </c>
      <c r="X23" s="205">
        <f t="shared" ref="X23:X27" si="43">+S23/(V23+W23)</f>
        <v>0.16169870452243559</v>
      </c>
      <c r="Y23" s="390">
        <f t="shared" ref="Y23:Y27" si="44">+V23/(V23+W23)</f>
        <v>0.17521005571716688</v>
      </c>
      <c r="Z23" s="321">
        <f t="shared" ref="Z23:Z27" si="45">+X23*Y23*1000</f>
        <v>28.331239028769645</v>
      </c>
    </row>
    <row r="24" spans="1:27" ht="12.6" thickBot="1" x14ac:dyDescent="0.3">
      <c r="A24" s="217" t="s">
        <v>395</v>
      </c>
      <c r="B24" s="379">
        <v>3</v>
      </c>
      <c r="C24" s="380">
        <v>5920</v>
      </c>
      <c r="D24" s="380">
        <v>34950</v>
      </c>
      <c r="E24" s="381">
        <v>177589</v>
      </c>
      <c r="F24" s="385">
        <f t="shared" si="31"/>
        <v>5.9037162162162158</v>
      </c>
      <c r="G24" s="392">
        <f>+Scenarios2!E30</f>
        <v>1328.21143576488</v>
      </c>
      <c r="H24" s="392">
        <f>+Scenarios2!E48</f>
        <v>4646.9272731839992</v>
      </c>
      <c r="I24" s="392">
        <f>+Scenarios2!E24</f>
        <v>19315.783584447752</v>
      </c>
      <c r="J24" s="392">
        <f t="shared" si="32"/>
        <v>411.65809501601706</v>
      </c>
      <c r="K24" s="127">
        <f t="shared" si="33"/>
        <v>41165809.501601703</v>
      </c>
      <c r="L24" s="127">
        <f t="shared" si="34"/>
        <v>3087435.7126201279</v>
      </c>
      <c r="M24" s="127">
        <f t="shared" si="35"/>
        <v>510456.03781986114</v>
      </c>
      <c r="N24" s="127">
        <f>+Scenarios2!E46</f>
        <v>11617.318182959998</v>
      </c>
      <c r="O24" s="321">
        <f t="shared" si="36"/>
        <v>247.58835443998274</v>
      </c>
      <c r="P24" s="127">
        <f t="shared" si="37"/>
        <v>13518324.152423058</v>
      </c>
      <c r="Q24" s="127">
        <f t="shared" si="38"/>
        <v>30948.544304997842</v>
      </c>
      <c r="R24" s="321">
        <f t="shared" si="39"/>
        <v>7675.2389876394654</v>
      </c>
      <c r="S24" s="10">
        <f t="shared" si="40"/>
        <v>34339030.6277574</v>
      </c>
      <c r="T24">
        <v>-135.04</v>
      </c>
      <c r="U24">
        <f t="shared" si="41"/>
        <v>-23981618.559999999</v>
      </c>
      <c r="V24" s="10">
        <f t="shared" si="42"/>
        <v>35372821.156977363</v>
      </c>
      <c r="W24" s="10">
        <f t="shared" si="30"/>
        <v>161158333.33333334</v>
      </c>
      <c r="X24" s="205">
        <f t="shared" si="43"/>
        <v>0.17472563429860871</v>
      </c>
      <c r="Y24" s="390">
        <f t="shared" si="44"/>
        <v>0.17998582081662426</v>
      </c>
      <c r="Z24" s="321">
        <f t="shared" si="45"/>
        <v>31.448136706940403</v>
      </c>
    </row>
    <row r="25" spans="1:27" ht="12.6" thickBot="1" x14ac:dyDescent="0.3">
      <c r="A25" s="217" t="s">
        <v>396</v>
      </c>
      <c r="B25" s="382">
        <v>4</v>
      </c>
      <c r="C25" s="383">
        <v>5496</v>
      </c>
      <c r="D25" s="383">
        <v>26250</v>
      </c>
      <c r="E25" s="384">
        <v>131909</v>
      </c>
      <c r="F25" s="385">
        <f t="shared" si="31"/>
        <v>4.7762008733624457</v>
      </c>
      <c r="G25" s="393">
        <f>+Scenarios2!F30</f>
        <v>1134.7499478629907</v>
      </c>
      <c r="H25" s="393">
        <f>+Scenarios2!F48</f>
        <v>3987.6396795647997</v>
      </c>
      <c r="I25" s="393">
        <f>+Scenarios2!F24</f>
        <v>16502.330747335109</v>
      </c>
      <c r="J25" s="392">
        <f t="shared" si="32"/>
        <v>326.50860665688339</v>
      </c>
      <c r="K25" s="127">
        <f t="shared" si="33"/>
        <v>32650860.66568834</v>
      </c>
      <c r="L25" s="127">
        <f t="shared" si="34"/>
        <v>2448814.5499266256</v>
      </c>
      <c r="M25" s="127">
        <f t="shared" si="35"/>
        <v>404870.67225453543</v>
      </c>
      <c r="N25" s="127">
        <f>+Scenarios2!F46</f>
        <v>9969.0991989119993</v>
      </c>
      <c r="O25" s="321">
        <f t="shared" si="36"/>
        <v>197.24466433849926</v>
      </c>
      <c r="P25" s="127">
        <f t="shared" si="37"/>
        <v>10769558.67288206</v>
      </c>
      <c r="Q25" s="127">
        <f t="shared" si="38"/>
        <v>24655.583042312406</v>
      </c>
      <c r="R25" s="321">
        <f t="shared" si="39"/>
        <v>6114.5845944934772</v>
      </c>
      <c r="S25" s="10">
        <f t="shared" si="40"/>
        <v>28491883.36838837</v>
      </c>
      <c r="T25">
        <v>-135.04</v>
      </c>
      <c r="U25">
        <f t="shared" si="41"/>
        <v>-17812991.359999999</v>
      </c>
      <c r="V25" s="10">
        <f t="shared" si="42"/>
        <v>28152653.392343137</v>
      </c>
      <c r="W25" s="10">
        <f t="shared" si="30"/>
        <v>121041666.66666667</v>
      </c>
      <c r="X25" s="205">
        <f t="shared" si="43"/>
        <v>0.19097163589819752</v>
      </c>
      <c r="Y25" s="390">
        <f t="shared" si="44"/>
        <v>0.18869788998138876</v>
      </c>
      <c r="Z25" s="321">
        <f t="shared" si="45"/>
        <v>36.035944740283902</v>
      </c>
    </row>
    <row r="26" spans="1:27" ht="12.6" thickBot="1" x14ac:dyDescent="0.3">
      <c r="A26" s="217" t="s">
        <v>397</v>
      </c>
      <c r="B26" s="379">
        <v>5</v>
      </c>
      <c r="C26" s="380">
        <v>3147</v>
      </c>
      <c r="D26" s="380">
        <v>15688</v>
      </c>
      <c r="E26" s="381">
        <v>75534</v>
      </c>
      <c r="F26" s="385">
        <f t="shared" si="31"/>
        <v>4.9850651414045126</v>
      </c>
      <c r="G26" s="392">
        <f>+Scenarios2!G30</f>
        <v>1277.5578570437151</v>
      </c>
      <c r="H26" s="392">
        <f>+Scenarios2!G48</f>
        <v>4941.6662542464001</v>
      </c>
      <c r="I26" s="392">
        <f>+Scenarios2!G24</f>
        <v>18579.143665523719</v>
      </c>
      <c r="J26" s="392">
        <f t="shared" si="32"/>
        <v>210.48689335178145</v>
      </c>
      <c r="K26" s="127">
        <f t="shared" si="33"/>
        <v>21048689.335178144</v>
      </c>
      <c r="L26" s="127">
        <f t="shared" si="34"/>
        <v>1578651.700138361</v>
      </c>
      <c r="M26" s="127">
        <f t="shared" si="35"/>
        <v>261003.74775620899</v>
      </c>
      <c r="N26" s="127">
        <f>+Scenarios2!G46</f>
        <v>12354.165635616</v>
      </c>
      <c r="O26" s="321">
        <f t="shared" si="36"/>
        <v>139.96285250861948</v>
      </c>
      <c r="P26" s="127">
        <f t="shared" si="37"/>
        <v>7641971.7469706237</v>
      </c>
      <c r="Q26" s="127">
        <f t="shared" si="38"/>
        <v>17495.356563577436</v>
      </c>
      <c r="R26" s="321">
        <f t="shared" si="39"/>
        <v>4338.8484277672042</v>
      </c>
      <c r="S26" s="10">
        <f t="shared" si="40"/>
        <v>20352039.375034682</v>
      </c>
      <c r="T26">
        <v>-135.04</v>
      </c>
      <c r="U26">
        <f t="shared" si="41"/>
        <v>-10200111.359999999</v>
      </c>
      <c r="V26" s="10">
        <f t="shared" si="42"/>
        <v>19571898.278229993</v>
      </c>
      <c r="W26" s="10">
        <f t="shared" si="30"/>
        <v>72339111.111111104</v>
      </c>
      <c r="X26" s="205">
        <f t="shared" si="43"/>
        <v>0.22143200809406957</v>
      </c>
      <c r="Y26" s="390">
        <f t="shared" si="44"/>
        <v>0.21294400320773477</v>
      </c>
      <c r="Z26" s="321">
        <f t="shared" si="45"/>
        <v>47.152618241878706</v>
      </c>
    </row>
    <row r="27" spans="1:27" ht="12.6" thickBot="1" x14ac:dyDescent="0.3">
      <c r="A27" s="217" t="s">
        <v>398</v>
      </c>
      <c r="B27" s="382">
        <v>6</v>
      </c>
      <c r="C27" s="383">
        <v>1931</v>
      </c>
      <c r="D27" s="383">
        <v>7454</v>
      </c>
      <c r="E27" s="384">
        <v>38620</v>
      </c>
      <c r="F27" s="385">
        <f t="shared" si="31"/>
        <v>3.86017607457276</v>
      </c>
      <c r="G27" s="393">
        <f>+Scenarios2!H30</f>
        <v>1040.5145820604205</v>
      </c>
      <c r="H27" s="393">
        <f>+Scenarios2!H48</f>
        <v>3046.7009072640003</v>
      </c>
      <c r="I27" s="393">
        <f>+Scenarios2!H24</f>
        <v>15131.893870471833</v>
      </c>
      <c r="J27" s="392">
        <f t="shared" si="32"/>
        <v>105.1909028834248</v>
      </c>
      <c r="K27" s="127">
        <f t="shared" si="33"/>
        <v>10519090.28834248</v>
      </c>
      <c r="L27" s="127">
        <f t="shared" si="34"/>
        <v>788931.77162568597</v>
      </c>
      <c r="M27" s="127">
        <f t="shared" si="35"/>
        <v>130436.71957544675</v>
      </c>
      <c r="N27" s="127">
        <f>+Scenarios2!H46</f>
        <v>7616.7522681600003</v>
      </c>
      <c r="O27" s="321">
        <f t="shared" si="36"/>
        <v>52.948629892957428</v>
      </c>
      <c r="P27" s="127">
        <f t="shared" si="37"/>
        <v>2890995.1921554757</v>
      </c>
      <c r="Q27" s="127">
        <f t="shared" si="38"/>
        <v>6618.5787366196791</v>
      </c>
      <c r="R27" s="321">
        <f t="shared" si="39"/>
        <v>1641.4075266816803</v>
      </c>
      <c r="S27" s="10">
        <f t="shared" si="40"/>
        <v>9122469.1579623893</v>
      </c>
      <c r="T27">
        <v>-135.04</v>
      </c>
      <c r="U27">
        <f t="shared" si="41"/>
        <v>-5215244.8</v>
      </c>
      <c r="V27" s="10">
        <f t="shared" si="42"/>
        <v>7892413.109885456</v>
      </c>
      <c r="W27" s="10">
        <f t="shared" si="30"/>
        <v>34371222.222222224</v>
      </c>
      <c r="X27" s="205">
        <f t="shared" si="43"/>
        <v>0.21584676959939722</v>
      </c>
      <c r="Y27" s="390">
        <f t="shared" si="44"/>
        <v>0.18674240982506279</v>
      </c>
      <c r="Z27" s="321">
        <f t="shared" si="45"/>
        <v>40.30774590794654</v>
      </c>
    </row>
    <row r="28" spans="1:27" x14ac:dyDescent="0.25">
      <c r="Z28" s="12">
        <f>+AVERAGE(Z22:Z27)</f>
        <v>35.640259948230842</v>
      </c>
      <c r="AA28">
        <f>+(AN9-Z28)/AN9</f>
        <v>0.67490177686348862</v>
      </c>
    </row>
  </sheetData>
  <mergeCells count="1">
    <mergeCell ref="Q2:U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4304-70B1-447E-AE5A-7E8B1F5A240C}">
  <dimension ref="A4:Z40"/>
  <sheetViews>
    <sheetView zoomScale="55" zoomScaleNormal="55" workbookViewId="0">
      <selection activeCell="V63" sqref="V63"/>
    </sheetView>
  </sheetViews>
  <sheetFormatPr baseColWidth="10" defaultRowHeight="12" x14ac:dyDescent="0.25"/>
  <cols>
    <col min="1" max="1" width="15.625" bestFit="1" customWidth="1"/>
  </cols>
  <sheetData>
    <row r="4" spans="1:17" x14ac:dyDescent="0.25">
      <c r="A4" t="s">
        <v>733</v>
      </c>
      <c r="B4">
        <v>2430</v>
      </c>
      <c r="C4">
        <v>2050</v>
      </c>
      <c r="J4" s="11">
        <v>200</v>
      </c>
      <c r="K4">
        <v>3.59</v>
      </c>
    </row>
    <row r="5" spans="1:17" x14ac:dyDescent="0.25">
      <c r="J5" s="105">
        <f>+J4*K5/K4</f>
        <v>74.651810584958227</v>
      </c>
      <c r="K5">
        <v>1.34</v>
      </c>
    </row>
    <row r="6" spans="1:17" x14ac:dyDescent="0.25">
      <c r="A6" t="s">
        <v>729</v>
      </c>
      <c r="B6" t="s">
        <v>732</v>
      </c>
      <c r="J6" s="127">
        <f>+J4*K6/K4</f>
        <v>849.02506963788301</v>
      </c>
      <c r="K6">
        <v>15.24</v>
      </c>
      <c r="Q6" s="201">
        <f>176/2430</f>
        <v>7.2427983539094645E-2</v>
      </c>
    </row>
    <row r="7" spans="1:17" x14ac:dyDescent="0.25">
      <c r="A7" t="s">
        <v>730</v>
      </c>
      <c r="B7">
        <v>75</v>
      </c>
      <c r="J7" s="127">
        <f>+J4*K7/K4</f>
        <v>1358.2172701949862</v>
      </c>
      <c r="K7">
        <v>24.38</v>
      </c>
      <c r="Q7" s="201">
        <f>103/2430</f>
        <v>4.2386831275720162E-2</v>
      </c>
    </row>
    <row r="8" spans="1:17" x14ac:dyDescent="0.25">
      <c r="A8" t="s">
        <v>731</v>
      </c>
      <c r="B8">
        <v>849</v>
      </c>
    </row>
    <row r="9" spans="1:17" x14ac:dyDescent="0.25">
      <c r="A9" t="s">
        <v>45</v>
      </c>
      <c r="B9">
        <v>1358</v>
      </c>
    </row>
    <row r="12" spans="1:17" x14ac:dyDescent="0.25">
      <c r="A12" t="s">
        <v>737</v>
      </c>
    </row>
    <row r="13" spans="1:17" x14ac:dyDescent="0.25">
      <c r="A13" t="s">
        <v>734</v>
      </c>
      <c r="B13">
        <v>231790</v>
      </c>
      <c r="C13" s="198">
        <f>+B13/B15</f>
        <v>0.72591808484651088</v>
      </c>
    </row>
    <row r="14" spans="1:17" x14ac:dyDescent="0.25">
      <c r="A14" t="s">
        <v>730</v>
      </c>
      <c r="B14">
        <v>87516</v>
      </c>
      <c r="C14" s="198">
        <f>+B14/B15</f>
        <v>0.27408191515348912</v>
      </c>
    </row>
    <row r="15" spans="1:17" x14ac:dyDescent="0.25">
      <c r="B15">
        <f>SUM(B13:B14)</f>
        <v>319306</v>
      </c>
    </row>
    <row r="17" spans="1:26" x14ac:dyDescent="0.25">
      <c r="A17" t="s">
        <v>735</v>
      </c>
      <c r="O17" t="s">
        <v>740</v>
      </c>
      <c r="P17" t="s">
        <v>741</v>
      </c>
      <c r="Q17" t="s">
        <v>743</v>
      </c>
    </row>
    <row r="18" spans="1:26" x14ac:dyDescent="0.25">
      <c r="A18" t="s">
        <v>731</v>
      </c>
      <c r="B18">
        <v>1209</v>
      </c>
      <c r="C18" t="s">
        <v>736</v>
      </c>
      <c r="O18" s="378" t="str">
        <f t="shared" ref="O18:O24" si="0">H24</f>
        <v>GWh -año</v>
      </c>
      <c r="P18" s="378" t="str">
        <f t="shared" ref="P18:P24" si="1">H33</f>
        <v>GWh -año</v>
      </c>
    </row>
    <row r="19" spans="1:26" ht="12.6" thickBot="1" x14ac:dyDescent="0.3">
      <c r="A19" t="s">
        <v>730</v>
      </c>
      <c r="B19">
        <v>30.3</v>
      </c>
      <c r="C19" t="s">
        <v>736</v>
      </c>
      <c r="N19" s="217" t="str">
        <f t="shared" ref="N19:N24" si="2">A25</f>
        <v>Planta A</v>
      </c>
      <c r="O19" s="392">
        <f t="shared" si="0"/>
        <v>34.012672747449173</v>
      </c>
      <c r="P19" s="392">
        <f t="shared" si="1"/>
        <v>19.317643973506897</v>
      </c>
    </row>
    <row r="20" spans="1:26" ht="12.6" thickBot="1" x14ac:dyDescent="0.3">
      <c r="N20" s="217" t="str">
        <f t="shared" si="2"/>
        <v>Planta B</v>
      </c>
      <c r="O20" s="392">
        <f t="shared" si="0"/>
        <v>43.793044758986525</v>
      </c>
      <c r="P20" s="392">
        <f t="shared" si="1"/>
        <v>25.937645666956197</v>
      </c>
    </row>
    <row r="21" spans="1:26" ht="12.6" thickBot="1" x14ac:dyDescent="0.3">
      <c r="N21" s="217" t="str">
        <f t="shared" si="2"/>
        <v>Planta C</v>
      </c>
      <c r="O21" s="392">
        <f t="shared" si="0"/>
        <v>39.496788087966273</v>
      </c>
      <c r="P21" s="392">
        <f t="shared" si="1"/>
        <v>23.765464765215484</v>
      </c>
    </row>
    <row r="22" spans="1:26" ht="12.6" thickBot="1" x14ac:dyDescent="0.3">
      <c r="N22" s="217" t="str">
        <f t="shared" si="2"/>
        <v>Planta D</v>
      </c>
      <c r="O22" s="392">
        <f t="shared" si="0"/>
        <v>28.695353261711606</v>
      </c>
      <c r="P22" s="392">
        <f t="shared" si="1"/>
        <v>16.502864555479906</v>
      </c>
    </row>
    <row r="23" spans="1:26" ht="12.6" thickBot="1" x14ac:dyDescent="0.3">
      <c r="N23" s="217" t="str">
        <f t="shared" si="2"/>
        <v>Planta E</v>
      </c>
      <c r="O23" s="392">
        <f t="shared" si="0"/>
        <v>21.441018548211268</v>
      </c>
      <c r="P23" s="392">
        <f t="shared" si="1"/>
        <v>13.104490716556809</v>
      </c>
    </row>
    <row r="24" spans="1:26" ht="31.2" thickBot="1" x14ac:dyDescent="0.3">
      <c r="A24" s="377" t="str">
        <f>EmisionesCO2!A12</f>
        <v>Zona</v>
      </c>
      <c r="B24" s="378" t="str">
        <f>EmisionesCO2!B12</f>
        <v>Palm Oil Mill</v>
      </c>
      <c r="C24" s="378" t="str">
        <f>EmisionesCO2!C12</f>
        <v>Operation hours
(h)</v>
      </c>
      <c r="D24" s="378" t="str">
        <f>EmisionesCO2!D12</f>
        <v>CPO</v>
      </c>
      <c r="E24" s="378" t="str">
        <f>EmisionesCO2!E12</f>
        <v>Production 
(t/RFF)</v>
      </c>
      <c r="F24" s="378" t="str">
        <f>EmisionesCO2!F12</f>
        <v>CPO (t/h)</v>
      </c>
      <c r="G24" s="378" t="s">
        <v>738</v>
      </c>
      <c r="H24" s="378" t="s">
        <v>739</v>
      </c>
      <c r="I24" s="378"/>
      <c r="J24" s="378"/>
      <c r="K24" s="389"/>
      <c r="L24" s="389"/>
      <c r="M24" s="389"/>
      <c r="N24" s="217" t="str">
        <f t="shared" si="2"/>
        <v>Planta F</v>
      </c>
      <c r="O24" s="392">
        <f t="shared" si="0"/>
        <v>8.67272579058384</v>
      </c>
      <c r="P24" s="392">
        <f t="shared" si="1"/>
        <v>4.8234803567267894</v>
      </c>
      <c r="Q24" s="389"/>
      <c r="R24" s="389"/>
      <c r="S24" s="389"/>
      <c r="T24" s="389"/>
      <c r="U24" s="389"/>
      <c r="V24" s="389"/>
      <c r="W24" s="389"/>
      <c r="Y24" s="389"/>
    </row>
    <row r="25" spans="1:26" ht="12.6" thickBot="1" x14ac:dyDescent="0.3">
      <c r="A25" s="217" t="s">
        <v>393</v>
      </c>
      <c r="B25" s="379">
        <f>EmisionesCO2!B13</f>
        <v>1</v>
      </c>
      <c r="C25" s="380">
        <f>EmisionesCO2!C13</f>
        <v>5105</v>
      </c>
      <c r="D25" s="380">
        <f>EmisionesCO2!D13</f>
        <v>31719</v>
      </c>
      <c r="E25" s="381">
        <f>EmisionesCO2!E13</f>
        <v>153157</v>
      </c>
      <c r="F25" s="385">
        <f>EmisionesCO2!F13</f>
        <v>6.2133202742409406</v>
      </c>
      <c r="G25" s="392">
        <f>+Scenarios1!C47</f>
        <v>6662.6195391673209</v>
      </c>
      <c r="H25" s="392">
        <f>+G25*C25/1000000</f>
        <v>34.012672747449173</v>
      </c>
      <c r="I25" s="392">
        <f>+G25*C25/E25</f>
        <v>222.07716753037192</v>
      </c>
      <c r="J25" s="392"/>
      <c r="K25" s="127"/>
      <c r="L25" s="127"/>
      <c r="M25" s="127"/>
      <c r="N25" s="127" t="s">
        <v>742</v>
      </c>
      <c r="O25" s="321"/>
      <c r="P25" s="127"/>
      <c r="Q25" s="127">
        <f>+B19</f>
        <v>30.3</v>
      </c>
      <c r="R25" s="321"/>
      <c r="S25" s="10"/>
      <c r="V25" s="10"/>
      <c r="W25" s="10"/>
      <c r="X25" s="205"/>
      <c r="Y25" s="390"/>
      <c r="Z25" s="321"/>
    </row>
    <row r="26" spans="1:26" ht="12.6" thickBot="1" x14ac:dyDescent="0.3">
      <c r="A26" s="217" t="s">
        <v>394</v>
      </c>
      <c r="B26" s="382">
        <f>EmisionesCO2!B14</f>
        <v>2</v>
      </c>
      <c r="C26" s="383">
        <f>EmisionesCO2!C14</f>
        <v>5155</v>
      </c>
      <c r="D26" s="383">
        <f>EmisionesCO2!D14</f>
        <v>42376</v>
      </c>
      <c r="E26" s="384">
        <f>EmisionesCO2!E14</f>
        <v>206207</v>
      </c>
      <c r="F26" s="385">
        <f>EmisionesCO2!F14</f>
        <v>8.2203685741998065</v>
      </c>
      <c r="G26" s="393">
        <f>+Scenarios1!D47</f>
        <v>8495.256015322313</v>
      </c>
      <c r="H26" s="392">
        <f t="shared" ref="H26:H30" si="3">+G26*C26/1000000</f>
        <v>43.793044758986525</v>
      </c>
      <c r="I26" s="392">
        <f t="shared" ref="I26:I30" si="4">+G26*C26/E26</f>
        <v>212.37419078395266</v>
      </c>
      <c r="J26" s="392"/>
      <c r="K26" s="127"/>
      <c r="L26" s="127"/>
      <c r="M26" s="127"/>
      <c r="N26" s="127"/>
      <c r="O26" s="467"/>
      <c r="P26" s="467"/>
      <c r="Q26" s="468" t="s">
        <v>747</v>
      </c>
      <c r="R26" s="468"/>
      <c r="S26" s="468"/>
      <c r="T26" s="10"/>
      <c r="V26" s="10"/>
      <c r="W26" s="10"/>
      <c r="X26" s="205"/>
      <c r="Y26" s="390"/>
      <c r="Z26" s="321"/>
    </row>
    <row r="27" spans="1:26" ht="12.6" thickBot="1" x14ac:dyDescent="0.3">
      <c r="A27" s="217" t="s">
        <v>395</v>
      </c>
      <c r="B27" s="379">
        <f>EmisionesCO2!B15</f>
        <v>3</v>
      </c>
      <c r="C27" s="380">
        <f>EmisionesCO2!C15</f>
        <v>5920</v>
      </c>
      <c r="D27" s="380">
        <f>EmisionesCO2!D15</f>
        <v>34950</v>
      </c>
      <c r="E27" s="381">
        <f>EmisionesCO2!E15</f>
        <v>177589</v>
      </c>
      <c r="F27" s="385">
        <f>EmisionesCO2!F15</f>
        <v>5.9037162162162158</v>
      </c>
      <c r="G27" s="392">
        <f>+Scenarios1!E47</f>
        <v>6671.7547445888968</v>
      </c>
      <c r="H27" s="392">
        <f t="shared" si="3"/>
        <v>39.496788087966273</v>
      </c>
      <c r="I27" s="392">
        <f t="shared" si="4"/>
        <v>222.40559994124789</v>
      </c>
      <c r="J27" s="392"/>
      <c r="K27" s="127"/>
      <c r="L27" s="127"/>
      <c r="M27" s="127"/>
      <c r="N27" s="127"/>
      <c r="O27" s="467" t="s">
        <v>748</v>
      </c>
      <c r="P27" s="467"/>
      <c r="Q27" s="469" t="s">
        <v>752</v>
      </c>
      <c r="R27" s="468"/>
      <c r="S27" s="468"/>
      <c r="T27" s="10"/>
      <c r="V27" s="10"/>
      <c r="W27" s="10"/>
      <c r="X27" s="205"/>
      <c r="Y27" s="390"/>
      <c r="Z27" s="321"/>
    </row>
    <row r="28" spans="1:26" ht="24.6" thickBot="1" x14ac:dyDescent="0.3">
      <c r="A28" s="217" t="s">
        <v>396</v>
      </c>
      <c r="B28" s="382">
        <f>EmisionesCO2!B16</f>
        <v>4</v>
      </c>
      <c r="C28" s="383">
        <f>EmisionesCO2!C16</f>
        <v>5496</v>
      </c>
      <c r="D28" s="383">
        <f>EmisionesCO2!D16</f>
        <v>26250</v>
      </c>
      <c r="E28" s="384">
        <f>EmisionesCO2!E16</f>
        <v>131909</v>
      </c>
      <c r="F28" s="385">
        <f>EmisionesCO2!F16</f>
        <v>4.7762008733624457</v>
      </c>
      <c r="G28" s="393">
        <f>+Scenarios1!F47</f>
        <v>5221.134145144033</v>
      </c>
      <c r="H28" s="392">
        <f t="shared" si="3"/>
        <v>28.695353261711606</v>
      </c>
      <c r="I28" s="392">
        <f t="shared" si="4"/>
        <v>217.53900993648352</v>
      </c>
      <c r="J28" s="392"/>
      <c r="K28" s="127"/>
      <c r="L28" s="127"/>
      <c r="M28" s="127"/>
      <c r="N28" s="127"/>
      <c r="O28" t="s">
        <v>740</v>
      </c>
      <c r="P28" t="s">
        <v>741</v>
      </c>
      <c r="Q28" s="395" t="s">
        <v>751</v>
      </c>
      <c r="R28" s="321" t="s">
        <v>749</v>
      </c>
      <c r="S28" s="10" t="s">
        <v>750</v>
      </c>
      <c r="T28" t="s">
        <v>14</v>
      </c>
      <c r="V28" s="10"/>
      <c r="W28" s="10"/>
      <c r="X28" s="205"/>
      <c r="Y28" s="390"/>
      <c r="Z28" s="321"/>
    </row>
    <row r="29" spans="1:26" ht="12.6" thickBot="1" x14ac:dyDescent="0.3">
      <c r="A29" s="217" t="s">
        <v>397</v>
      </c>
      <c r="B29" s="379">
        <f>EmisionesCO2!B17</f>
        <v>5</v>
      </c>
      <c r="C29" s="380">
        <f>EmisionesCO2!C17</f>
        <v>3147</v>
      </c>
      <c r="D29" s="380">
        <f>EmisionesCO2!D17</f>
        <v>15688</v>
      </c>
      <c r="E29" s="381">
        <f>EmisionesCO2!E17</f>
        <v>75534</v>
      </c>
      <c r="F29" s="385">
        <f>EmisionesCO2!F17</f>
        <v>4.9850651414045126</v>
      </c>
      <c r="G29" s="392">
        <f>+Scenarios1!G47</f>
        <v>6813.1612800162911</v>
      </c>
      <c r="H29" s="392">
        <f t="shared" si="3"/>
        <v>21.441018548211268</v>
      </c>
      <c r="I29" s="392">
        <f t="shared" si="4"/>
        <v>283.85917001894865</v>
      </c>
      <c r="J29" s="392"/>
      <c r="K29" s="127"/>
      <c r="L29" s="127"/>
      <c r="M29" s="127"/>
      <c r="N29" s="378" t="str">
        <f>$O$18</f>
        <v>GWh -año</v>
      </c>
      <c r="O29" s="321">
        <f>SUM(O19:O24)</f>
        <v>176.1116031949087</v>
      </c>
      <c r="P29" s="321">
        <f>SUM(P19:P24)</f>
        <v>103.45159003444208</v>
      </c>
      <c r="Q29" s="127">
        <f>+B19</f>
        <v>30.3</v>
      </c>
      <c r="R29" s="321">
        <f>+B18</f>
        <v>1209</v>
      </c>
      <c r="S29" s="10">
        <f>+B4</f>
        <v>2430</v>
      </c>
      <c r="V29" s="10"/>
      <c r="W29" s="10"/>
      <c r="X29" s="205"/>
      <c r="Y29" s="390"/>
      <c r="Z29" s="321"/>
    </row>
    <row r="30" spans="1:26" ht="12.6" thickBot="1" x14ac:dyDescent="0.3">
      <c r="A30" s="217" t="s">
        <v>398</v>
      </c>
      <c r="B30" s="382">
        <f>EmisionesCO2!B18</f>
        <v>6</v>
      </c>
      <c r="C30" s="383">
        <f>EmisionesCO2!C18</f>
        <v>1931</v>
      </c>
      <c r="D30" s="383">
        <f>EmisionesCO2!D18</f>
        <v>7454</v>
      </c>
      <c r="E30" s="384">
        <f>EmisionesCO2!E18</f>
        <v>38620</v>
      </c>
      <c r="F30" s="385">
        <f>EmisionesCO2!F18</f>
        <v>3.86017607457276</v>
      </c>
      <c r="G30" s="393">
        <f>+Scenarios1!H47</f>
        <v>4491.3132007166441</v>
      </c>
      <c r="H30" s="392">
        <f t="shared" si="3"/>
        <v>8.67272579058384</v>
      </c>
      <c r="I30" s="392">
        <f t="shared" si="4"/>
        <v>224.5656600358322</v>
      </c>
      <c r="J30" s="392"/>
      <c r="K30" s="127"/>
      <c r="L30" s="127"/>
      <c r="M30" s="127"/>
      <c r="N30" s="127"/>
      <c r="P30" s="127"/>
      <c r="Q30" s="127"/>
      <c r="R30" s="321"/>
      <c r="S30" s="10"/>
      <c r="V30" s="10"/>
      <c r="W30" s="10"/>
      <c r="X30" s="205"/>
      <c r="Y30" s="390"/>
      <c r="Z30" s="321"/>
    </row>
    <row r="31" spans="1:26" x14ac:dyDescent="0.25">
      <c r="A31">
        <f>EmisionesCO2!A19</f>
        <v>0</v>
      </c>
      <c r="B31">
        <f>EmisionesCO2!B19</f>
        <v>0</v>
      </c>
      <c r="C31">
        <f>EmisionesCO2!C19</f>
        <v>0</v>
      </c>
      <c r="D31">
        <f>EmisionesCO2!D19</f>
        <v>0</v>
      </c>
      <c r="E31">
        <f>EmisionesCO2!E19</f>
        <v>0</v>
      </c>
      <c r="F31">
        <f>EmisionesCO2!F19</f>
        <v>0</v>
      </c>
      <c r="G31">
        <f>EmisionesCO2!G19</f>
        <v>0</v>
      </c>
      <c r="H31" s="10">
        <f>SUM(H25:H30)</f>
        <v>176.1116031949087</v>
      </c>
      <c r="I31" s="198">
        <f>+H31/B18</f>
        <v>0.14566716558718668</v>
      </c>
      <c r="N31" t="s">
        <v>740</v>
      </c>
      <c r="O31" s="321">
        <f>SUM(E31:J31)</f>
        <v>176.25727036049588</v>
      </c>
    </row>
    <row r="32" spans="1:26" x14ac:dyDescent="0.25">
      <c r="A32">
        <f>EmisionesCO2!A20</f>
        <v>0</v>
      </c>
      <c r="B32">
        <f>EmisionesCO2!B20</f>
        <v>0</v>
      </c>
      <c r="C32">
        <f>EmisionesCO2!C20</f>
        <v>0</v>
      </c>
      <c r="D32">
        <f>EmisionesCO2!D20</f>
        <v>0</v>
      </c>
      <c r="E32">
        <f>EmisionesCO2!E20</f>
        <v>0</v>
      </c>
      <c r="F32">
        <f>EmisionesCO2!F20</f>
        <v>0</v>
      </c>
      <c r="G32">
        <f>EmisionesCO2!G20</f>
        <v>0</v>
      </c>
      <c r="K32" s="10"/>
      <c r="L32" s="324"/>
      <c r="N32" t="s">
        <v>741</v>
      </c>
      <c r="O32" s="321">
        <f>+P29</f>
        <v>103.45159003444208</v>
      </c>
    </row>
    <row r="33" spans="1:26" ht="30.6" x14ac:dyDescent="0.25">
      <c r="A33" s="377" t="str">
        <f>EmisionesCO2!A21</f>
        <v>Zona</v>
      </c>
      <c r="B33" s="378" t="str">
        <f>EmisionesCO2!B21</f>
        <v>Palm Oil Mill</v>
      </c>
      <c r="C33" s="378" t="str">
        <f>EmisionesCO2!C21</f>
        <v>Operation hours
(h)</v>
      </c>
      <c r="D33" s="378" t="str">
        <f>EmisionesCO2!D21</f>
        <v>CPO</v>
      </c>
      <c r="E33" s="378" t="str">
        <f>EmisionesCO2!E21</f>
        <v>Production 
(t/RFF)</v>
      </c>
      <c r="F33" s="378" t="str">
        <f>EmisionesCO2!F21</f>
        <v>CPO (t/h)</v>
      </c>
      <c r="G33" s="378" t="s">
        <v>685</v>
      </c>
      <c r="H33" s="378" t="s">
        <v>739</v>
      </c>
      <c r="I33" s="378"/>
      <c r="J33" s="378"/>
      <c r="K33" s="389"/>
      <c r="L33" s="389"/>
      <c r="M33" s="389"/>
      <c r="N33" s="127" t="s">
        <v>744</v>
      </c>
      <c r="O33" s="127">
        <f>+Q29</f>
        <v>30.3</v>
      </c>
      <c r="P33" s="389"/>
      <c r="Q33" s="389"/>
      <c r="R33" s="389"/>
      <c r="S33" s="389"/>
      <c r="T33" s="389"/>
      <c r="U33" s="389"/>
      <c r="V33" s="389"/>
      <c r="W33" s="389"/>
    </row>
    <row r="34" spans="1:26" ht="12.6" thickBot="1" x14ac:dyDescent="0.3">
      <c r="A34" s="217" t="s">
        <v>393</v>
      </c>
      <c r="B34" s="379">
        <f>EmisionesCO2!B22</f>
        <v>1</v>
      </c>
      <c r="C34" s="380">
        <f>EmisionesCO2!C22</f>
        <v>5105</v>
      </c>
      <c r="D34" s="380">
        <f>EmisionesCO2!D22</f>
        <v>31719</v>
      </c>
      <c r="E34" s="381">
        <f>EmisionesCO2!E22</f>
        <v>153157</v>
      </c>
      <c r="F34" s="385">
        <f>EmisionesCO2!F22</f>
        <v>6.2133202742409406</v>
      </c>
      <c r="G34" s="392">
        <f>+Scenarios2!C51</f>
        <v>3784.0634619993925</v>
      </c>
      <c r="H34" s="392">
        <f>+G34*C34/1000000</f>
        <v>19.317643973506897</v>
      </c>
      <c r="I34" s="392">
        <f>+G34*C34/E34</f>
        <v>126.12968374613565</v>
      </c>
      <c r="J34" s="392"/>
      <c r="K34" s="127"/>
      <c r="L34" s="127"/>
      <c r="M34" s="127"/>
      <c r="N34" s="321" t="s">
        <v>730</v>
      </c>
      <c r="O34" s="321">
        <f>+R29</f>
        <v>1209</v>
      </c>
      <c r="P34" s="127"/>
      <c r="Q34" s="127"/>
      <c r="R34" s="321"/>
      <c r="S34" s="10"/>
      <c r="V34" s="10"/>
      <c r="W34" s="10"/>
      <c r="X34" s="205"/>
      <c r="Y34" s="390"/>
      <c r="Z34" s="321"/>
    </row>
    <row r="35" spans="1:26" ht="12.6" thickBot="1" x14ac:dyDescent="0.3">
      <c r="A35" s="217" t="s">
        <v>394</v>
      </c>
      <c r="B35" s="382">
        <f>EmisionesCO2!B23</f>
        <v>2</v>
      </c>
      <c r="C35" s="383">
        <f>EmisionesCO2!C23</f>
        <v>5155</v>
      </c>
      <c r="D35" s="383">
        <f>EmisionesCO2!D23</f>
        <v>42376</v>
      </c>
      <c r="E35" s="384">
        <f>EmisionesCO2!E23</f>
        <v>206207</v>
      </c>
      <c r="F35" s="385">
        <f>EmisionesCO2!F23</f>
        <v>8.2203685741998065</v>
      </c>
      <c r="G35" s="393">
        <f>+Scenarios2!D51</f>
        <v>5031.551050815945</v>
      </c>
      <c r="H35" s="392">
        <f t="shared" ref="H35:H39" si="5">+G35*C35/1000000</f>
        <v>25.937645666956197</v>
      </c>
      <c r="I35" s="392">
        <f t="shared" ref="I35:I39" si="6">+G35*C35/E35</f>
        <v>125.7845061853196</v>
      </c>
      <c r="J35" s="392"/>
      <c r="K35" s="127"/>
      <c r="L35" s="127"/>
      <c r="M35" s="127"/>
      <c r="N35" t="s">
        <v>746</v>
      </c>
      <c r="O35" s="321">
        <f>+O36-O34-O33</f>
        <v>1190.7</v>
      </c>
      <c r="P35" s="127"/>
      <c r="Q35" s="127"/>
      <c r="R35" s="321"/>
      <c r="S35" s="10"/>
      <c r="V35" s="10"/>
      <c r="W35" s="10"/>
      <c r="X35" s="205"/>
      <c r="Y35" s="390"/>
      <c r="Z35" s="321"/>
    </row>
    <row r="36" spans="1:26" ht="12.6" thickBot="1" x14ac:dyDescent="0.3">
      <c r="A36" s="217" t="s">
        <v>395</v>
      </c>
      <c r="B36" s="379">
        <f>EmisionesCO2!B24</f>
        <v>3</v>
      </c>
      <c r="C36" s="380">
        <f>EmisionesCO2!C24</f>
        <v>5920</v>
      </c>
      <c r="D36" s="380">
        <f>EmisionesCO2!D24</f>
        <v>34950</v>
      </c>
      <c r="E36" s="381">
        <f>EmisionesCO2!E24</f>
        <v>177589</v>
      </c>
      <c r="F36" s="385">
        <f>EmisionesCO2!F24</f>
        <v>5.9037162162162158</v>
      </c>
      <c r="G36" s="392">
        <f>+Scenarios2!E51</f>
        <v>4014.4366157458585</v>
      </c>
      <c r="H36" s="392">
        <f t="shared" si="5"/>
        <v>23.765464765215484</v>
      </c>
      <c r="I36" s="392">
        <f t="shared" si="6"/>
        <v>133.82284243514792</v>
      </c>
      <c r="J36" s="392"/>
      <c r="K36" s="127"/>
      <c r="L36" s="127"/>
      <c r="M36" s="127"/>
      <c r="N36" s="10" t="s">
        <v>745</v>
      </c>
      <c r="O36" s="10">
        <f>+S29</f>
        <v>2430</v>
      </c>
      <c r="P36" s="127"/>
      <c r="Q36" s="127"/>
      <c r="R36" s="321"/>
      <c r="S36" s="10"/>
      <c r="V36" s="10"/>
      <c r="W36" s="10"/>
      <c r="X36" s="205"/>
      <c r="Y36" s="390"/>
      <c r="Z36" s="321"/>
    </row>
    <row r="37" spans="1:26" ht="12.6" thickBot="1" x14ac:dyDescent="0.3">
      <c r="A37" s="217" t="s">
        <v>396</v>
      </c>
      <c r="B37" s="382">
        <f>EmisionesCO2!B25</f>
        <v>4</v>
      </c>
      <c r="C37" s="383">
        <f>EmisionesCO2!C25</f>
        <v>5496</v>
      </c>
      <c r="D37" s="383">
        <f>EmisionesCO2!D25</f>
        <v>26250</v>
      </c>
      <c r="E37" s="384">
        <f>EmisionesCO2!E25</f>
        <v>131909</v>
      </c>
      <c r="F37" s="385">
        <f>EmisionesCO2!F25</f>
        <v>4.7762008733624457</v>
      </c>
      <c r="G37" s="393">
        <f>+Scenarios2!F51</f>
        <v>3002.7046134424863</v>
      </c>
      <c r="H37" s="392">
        <f t="shared" si="5"/>
        <v>16.502864555479906</v>
      </c>
      <c r="I37" s="392">
        <f t="shared" si="6"/>
        <v>125.10794984026795</v>
      </c>
      <c r="J37" s="392"/>
      <c r="K37" s="127"/>
      <c r="L37" s="127"/>
      <c r="M37" s="127"/>
      <c r="N37" s="127"/>
      <c r="O37" s="321"/>
      <c r="P37" s="127"/>
      <c r="Q37" s="127"/>
      <c r="R37" s="321"/>
      <c r="S37" s="10"/>
      <c r="V37" s="10"/>
      <c r="W37" s="10"/>
      <c r="X37" s="205"/>
      <c r="Y37" s="390"/>
      <c r="Z37" s="321"/>
    </row>
    <row r="38" spans="1:26" ht="12.6" thickBot="1" x14ac:dyDescent="0.3">
      <c r="A38" s="217" t="s">
        <v>397</v>
      </c>
      <c r="B38" s="379">
        <f>EmisionesCO2!B26</f>
        <v>5</v>
      </c>
      <c r="C38" s="380">
        <f>EmisionesCO2!C26</f>
        <v>3147</v>
      </c>
      <c r="D38" s="380">
        <f>EmisionesCO2!D26</f>
        <v>15688</v>
      </c>
      <c r="E38" s="381">
        <f>EmisionesCO2!E26</f>
        <v>75534</v>
      </c>
      <c r="F38" s="385">
        <f>EmisionesCO2!F26</f>
        <v>4.9850651414045126</v>
      </c>
      <c r="G38" s="392">
        <f>+Scenarios2!G51</f>
        <v>4164.1216131416613</v>
      </c>
      <c r="H38" s="392">
        <f t="shared" si="5"/>
        <v>13.104490716556809</v>
      </c>
      <c r="I38" s="392">
        <f t="shared" si="6"/>
        <v>173.49128493866084</v>
      </c>
      <c r="J38" s="392"/>
      <c r="K38" s="127"/>
      <c r="L38" s="127"/>
      <c r="M38" s="127"/>
      <c r="N38" s="127"/>
      <c r="O38" s="321"/>
      <c r="P38" s="127"/>
      <c r="Q38" s="127"/>
      <c r="R38" s="321"/>
      <c r="S38" s="10"/>
      <c r="V38" s="10"/>
      <c r="W38" s="10"/>
      <c r="X38" s="205"/>
      <c r="Y38" s="390"/>
      <c r="Z38" s="321"/>
    </row>
    <row r="39" spans="1:26" ht="12.6" thickBot="1" x14ac:dyDescent="0.3">
      <c r="A39" s="217" t="s">
        <v>398</v>
      </c>
      <c r="B39" s="382">
        <f>EmisionesCO2!B27</f>
        <v>6</v>
      </c>
      <c r="C39" s="383">
        <f>EmisionesCO2!C27</f>
        <v>1931</v>
      </c>
      <c r="D39" s="383">
        <f>EmisionesCO2!D27</f>
        <v>7454</v>
      </c>
      <c r="E39" s="384">
        <f>EmisionesCO2!E27</f>
        <v>38620</v>
      </c>
      <c r="F39" s="385">
        <f>EmisionesCO2!F27</f>
        <v>3.86017607457276</v>
      </c>
      <c r="G39" s="393">
        <f>+Scenarios2!H51</f>
        <v>2497.9183618471207</v>
      </c>
      <c r="H39" s="392">
        <f t="shared" si="5"/>
        <v>4.8234803567267894</v>
      </c>
      <c r="I39" s="392">
        <f t="shared" si="6"/>
        <v>124.89591809235603</v>
      </c>
      <c r="J39" s="392"/>
      <c r="K39" s="127"/>
      <c r="L39" s="127"/>
      <c r="M39" s="127"/>
      <c r="N39" s="127"/>
      <c r="O39" s="321"/>
      <c r="P39" s="127"/>
      <c r="Q39" s="127"/>
      <c r="R39" s="321"/>
      <c r="S39" s="10"/>
      <c r="V39" s="10"/>
      <c r="W39" s="10"/>
      <c r="X39" s="205"/>
      <c r="Y39" s="390"/>
      <c r="Z39" s="321"/>
    </row>
    <row r="40" spans="1:26" x14ac:dyDescent="0.25">
      <c r="H40" s="10">
        <f>SUM(H34:H39)</f>
        <v>103.45159003444208</v>
      </c>
    </row>
  </sheetData>
  <mergeCells count="4">
    <mergeCell ref="O27:P27"/>
    <mergeCell ref="O26:P26"/>
    <mergeCell ref="Q26:S26"/>
    <mergeCell ref="Q27:S27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4D446F207811439139B40E62876E25" ma:contentTypeVersion="13" ma:contentTypeDescription="Crear nuevo documento." ma:contentTypeScope="" ma:versionID="4fb9f8fecce268d1e4e80cdb01b12e59">
  <xsd:schema xmlns:xsd="http://www.w3.org/2001/XMLSchema" xmlns:xs="http://www.w3.org/2001/XMLSchema" xmlns:p="http://schemas.microsoft.com/office/2006/metadata/properties" xmlns:ns3="b61dcdce-396f-405e-a892-2621a90635b2" xmlns:ns4="8c1bb71d-c029-4657-8ac3-1d6ff75194e2" targetNamespace="http://schemas.microsoft.com/office/2006/metadata/properties" ma:root="true" ma:fieldsID="3770b0a373c514afe100fd2134a8578f" ns3:_="" ns4:_="">
    <xsd:import namespace="b61dcdce-396f-405e-a892-2621a90635b2"/>
    <xsd:import namespace="8c1bb71d-c029-4657-8ac3-1d6ff75194e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dcdce-396f-405e-a892-2621a90635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1bb71d-c029-4657-8ac3-1d6ff75194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1bb71d-c029-4657-8ac3-1d6ff75194e2" xsi:nil="true"/>
  </documentManagement>
</p:properties>
</file>

<file path=customXml/itemProps1.xml><?xml version="1.0" encoding="utf-8"?>
<ds:datastoreItem xmlns:ds="http://schemas.openxmlformats.org/officeDocument/2006/customXml" ds:itemID="{806196C9-543F-43C6-947E-1AF82AED11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7235D6-027A-494E-911A-30ECEB08C8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1dcdce-396f-405e-a892-2621a90635b2"/>
    <ds:schemaRef ds:uri="8c1bb71d-c029-4657-8ac3-1d6ff75194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33040E-95E2-4B5E-89B2-7301C3850EBA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8c1bb71d-c029-4657-8ac3-1d6ff75194e2"/>
    <ds:schemaRef ds:uri="http://schemas.microsoft.com/office/2006/documentManagement/types"/>
    <ds:schemaRef ds:uri="http://schemas.openxmlformats.org/package/2006/metadata/core-properties"/>
    <ds:schemaRef ds:uri="b61dcdce-396f-405e-a892-2621a90635b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24</vt:i4>
      </vt:variant>
    </vt:vector>
  </HeadingPairs>
  <TitlesOfParts>
    <vt:vector size="42" baseType="lpstr">
      <vt:lpstr>CAPEX</vt:lpstr>
      <vt:lpstr>LCA inventory</vt:lpstr>
      <vt:lpstr>RFF evolution</vt:lpstr>
      <vt:lpstr>MyE_LB</vt:lpstr>
      <vt:lpstr>Datos_Base</vt:lpstr>
      <vt:lpstr>Scenario 1</vt:lpstr>
      <vt:lpstr>Scenario1_Actual</vt:lpstr>
      <vt:lpstr>Scenario 2</vt:lpstr>
      <vt:lpstr>Ster_Conv</vt:lpstr>
      <vt:lpstr>Hoja1</vt:lpstr>
      <vt:lpstr>EE_PB</vt:lpstr>
      <vt:lpstr>Biomass</vt:lpstr>
      <vt:lpstr>Eficiencia</vt:lpstr>
      <vt:lpstr>Hoja3</vt:lpstr>
      <vt:lpstr>Scenarios1</vt:lpstr>
      <vt:lpstr>Scenarios2</vt:lpstr>
      <vt:lpstr>EmisionesCO2</vt:lpstr>
      <vt:lpstr>Hoja2</vt:lpstr>
      <vt:lpstr>Datos_Base!_Toc153808675</vt:lpstr>
      <vt:lpstr>Datos_Base!_Toc153808676</vt:lpstr>
      <vt:lpstr>Datos_Base!_Toc153808677</vt:lpstr>
      <vt:lpstr>Datos_Base!_Toc153808678</vt:lpstr>
      <vt:lpstr>Datos_Base!_Toc153808679</vt:lpstr>
      <vt:lpstr>Datos_Base!_Toc153808680</vt:lpstr>
      <vt:lpstr>Datos_Base!_Toc153808681</vt:lpstr>
      <vt:lpstr>Datos_Base!_Toc153808682</vt:lpstr>
      <vt:lpstr>Datos_Base!_Toc153808683</vt:lpstr>
      <vt:lpstr>Datos_Base!_Toc153808684</vt:lpstr>
      <vt:lpstr>Datos_Base!_Toc153808685</vt:lpstr>
      <vt:lpstr>Datos_Base!_Toc153808686</vt:lpstr>
      <vt:lpstr>Datos_Base!_Toc153808687</vt:lpstr>
      <vt:lpstr>Datos_Base!_Toc153808688</vt:lpstr>
      <vt:lpstr>Datos_Base!_Toc153808689</vt:lpstr>
      <vt:lpstr>Datos_Base!_Toc153808690</vt:lpstr>
      <vt:lpstr>Datos_Base!_Toc153808691</vt:lpstr>
      <vt:lpstr>Datos_Base!_Toc153808692</vt:lpstr>
      <vt:lpstr>Datos_Base!_Toc153808693</vt:lpstr>
      <vt:lpstr>Datos_Base!_Toc153808694</vt:lpstr>
      <vt:lpstr>Datos_Base!_Toc153808695</vt:lpstr>
      <vt:lpstr>Datos_Base!_Toc153808696</vt:lpstr>
      <vt:lpstr>Datos_Base!_Toc153808697</vt:lpstr>
      <vt:lpstr>Datos_Base!_Toc153808698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Barrera Hernandez</dc:creator>
  <cp:lastModifiedBy>Juan Camilo Barrera Hernandez</cp:lastModifiedBy>
  <dcterms:created xsi:type="dcterms:W3CDTF">2023-03-16T16:50:19Z</dcterms:created>
  <dcterms:modified xsi:type="dcterms:W3CDTF">2026-07-06T20:10:45Z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0x010100144D446F207811439139B40E62876E25</vt:lpwstr>
  </property>
</Properties>
</file>